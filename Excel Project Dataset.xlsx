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defaultThemeVersion="166925"/>
  <mc:AlternateContent xmlns:mc="http://schemas.openxmlformats.org/markup-compatibility/2006">
    <mc:Choice Requires="x15">
      <x15ac:absPath xmlns:x15ac="http://schemas.microsoft.com/office/spreadsheetml/2010/11/ac" url="C:\Users\Muhammed Awwal\Desktop\data analyst journey\data analyst by alex\My Portfolio\Excel\"/>
    </mc:Choice>
  </mc:AlternateContent>
  <xr:revisionPtr revIDLastSave="0" documentId="13_ncr:1_{A92BC4D0-DA83-4D27-A9DC-1EB9598EC6D8}" xr6:coauthVersionLast="47" xr6:coauthVersionMax="47" xr10:uidLastSave="{00000000-0000-0000-0000-000000000000}"/>
  <bookViews>
    <workbookView xWindow="-120" yWindow="-120" windowWidth="20730" windowHeight="11160" xr2:uid="{00000000-000D-0000-FFFF-FFFF00000000}"/>
  </bookViews>
  <sheets>
    <sheet name="bike_buyers" sheetId="1" r:id="rId1"/>
    <sheet name="working sheet" sheetId="2" r:id="rId2"/>
    <sheet name="PivotTable" sheetId="3" r:id="rId3"/>
    <sheet name="Dashboard" sheetId="4"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<sst xmlns="http://schemas.openxmlformats.org/spreadsheetml/2006/main" count="16266" uniqueCount="51">
  <si>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</si>
  <si>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</si>
  <si>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</si>
  <si>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</si>
  <si>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</si>
  <si>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</si>
  <si>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</si>
  <si>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</si>
  <si>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</si>
  <si>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</si>
  <si>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</si>
  <si>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</si>
  <si>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</si>
  <si>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</si>
  <si>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</si>
  <si>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</si>
  <si>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</si>
  <si>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</si>
  <si>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</si>
  <si>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</si>
  <si>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</si>
  <si>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</si>
  <si>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</si>
  <si>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</si>
  <si>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</si>
  <si>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</si>
  <si>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</si>
  <si>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</si>
  <si>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</si>
  <si>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</si>
  <si>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</si>
  <si>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</si>
  <si>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</si>
  <si>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</si>
  <si>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</si>
  <si>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</si>
  <si>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</si>
  <si>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</si>
  <si>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</si>
  <si>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</si>
  <si>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More than 10 Miles</t>
  </si>
  <si>
    <t>Age Bracket</t>
  </si>
  <si>
    <t>Row Labels</t>
  </si>
  <si>
    <t>Grand Total</t>
  </si>
  <si>
    <t>Column Labels</t>
  </si>
  <si>
    <t>Average of Income</t>
  </si>
  <si>
    <t>Count of Purchased Bike</t>
  </si>
  <si>
    <t>Middle Age</t>
  </si>
  <si>
    <t>Old</t>
  </si>
  <si>
    <t>Count of Purchased Bike By Age</t>
  </si>
  <si>
    <t>Bike Purchased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</si>
</sst>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Bahnschrift Semi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5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applyAlignment="1">
      <alignment horizontal="center"/>
    </xf>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Purchased By Gender With Their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PivotTable!$A$3:$A$5</c:f>
              <c:strCache>
                <c:ptCount val="2"/>
                <c:pt idx="0">
                  <c:v>Female</c:v>
                </c:pt>
                <c:pt idx="1">
                  <c:v>Male</c:v>
                </c:pt>
              </c:strCache>
            </c:strRef>
          </c:cat>
          <c:val>
            <c:numRef>
              <c:f>PivotTable!$B$3:$B$5</c:f>
              <c:numCache>
                <c:formatCode>0</c:formatCode>
                <c:ptCount val="2"/>
                <c:pt idx="0">
                  <c:v>66428.571428571435</c:v>
                </c:pt>
                <c:pt idx="1">
                  <c:v>75384.61538461539</c:v>
                </c:pt>
              </c:numCache>
            </c:numRef>
          </c:val>
          <c:extLst>
            <c:ext xmlns:c16="http://schemas.microsoft.com/office/drawing/2014/chart" uri="{C3380CC4-5D6E-409C-BE32-E72D297353CC}">
              <c16:uniqueId val="{00000000-0779-4A1C-8BD4-CF35C5A4A4B2}"/>
            </c:ext>
          </c:extLst>
        </c:ser>
        <c:ser>
          <c:idx val="1"/>
          <c:order val="1"/>
          <c:tx>
            <c:strRef>
              <c:f>PivotTable!$C$1:$C$2</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PivotTable!$A$3:$A$5</c:f>
              <c:strCache>
                <c:ptCount val="2"/>
                <c:pt idx="0">
                  <c:v>Female</c:v>
                </c:pt>
                <c:pt idx="1">
                  <c:v>Male</c:v>
                </c:pt>
              </c:strCache>
            </c:strRef>
          </c:cat>
          <c:val>
            <c:numRef>
              <c:f>PivotTable!$C$3:$C$5</c:f>
              <c:numCache>
                <c:formatCode>0</c:formatCode>
                <c:ptCount val="2"/>
                <c:pt idx="0">
                  <c:v>66000</c:v>
                </c:pt>
                <c:pt idx="1">
                  <c:v>70625</c:v>
                </c:pt>
              </c:numCache>
            </c:numRef>
          </c:val>
          <c:extLst>
            <c:ext xmlns:c16="http://schemas.microsoft.com/office/drawing/2014/chart" uri="{C3380CC4-5D6E-409C-BE32-E72D297353CC}">
              <c16:uniqueId val="{00000001-0779-4A1C-8BD4-CF35C5A4A4B2}"/>
            </c:ext>
          </c:extLst>
        </c:ser>
        <c:dLbls>
          <c:showLegendKey val="0"/>
          <c:showVal val="0"/>
          <c:showCatName val="0"/>
          <c:showSerName val="0"/>
          <c:showPercent val="0"/>
          <c:showBubbleSize val="0"/>
        </c:dLbls>
        <c:gapWidth val="100"/>
        <c:overlap val="-24"/>
        <c:axId val="1624785823"/>
        <c:axId val="1624786783"/>
      </c:barChart>
      <c:catAx>
        <c:axId val="1624785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4786783"/>
        <c:crosses val="autoZero"/>
        <c:auto val="1"/>
        <c:lblAlgn val="ctr"/>
        <c:lblOffset val="100"/>
        <c:noMultiLvlLbl val="0"/>
      </c:catAx>
      <c:valAx>
        <c:axId val="162478678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478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Purchased By Commute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PivotTable!$B$16:$B$17</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PivotTable!$A$18:$A$23</c:f>
              <c:strCache>
                <c:ptCount val="5"/>
                <c:pt idx="0">
                  <c:v>0-1 Miles</c:v>
                </c:pt>
                <c:pt idx="1">
                  <c:v>1-2 Miles</c:v>
                </c:pt>
                <c:pt idx="2">
                  <c:v>2-5 Miles</c:v>
                </c:pt>
                <c:pt idx="3">
                  <c:v>5-10 Miles</c:v>
                </c:pt>
                <c:pt idx="4">
                  <c:v>More than 10 Miles</c:v>
                </c:pt>
              </c:strCache>
            </c:strRef>
          </c:cat>
          <c:val>
            <c:numRef>
              <c:f>PivotTable!$B$18:$B$23</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DD07-401D-A751-E82A123D8B88}"/>
            </c:ext>
          </c:extLst>
        </c:ser>
        <c:ser>
          <c:idx val="1"/>
          <c:order val="1"/>
          <c:tx>
            <c:strRef>
              <c:f>PivotTable!$C$16:$C$17</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PivotTable!$A$18:$A$23</c:f>
              <c:strCache>
                <c:ptCount val="5"/>
                <c:pt idx="0">
                  <c:v>0-1 Miles</c:v>
                </c:pt>
                <c:pt idx="1">
                  <c:v>1-2 Miles</c:v>
                </c:pt>
                <c:pt idx="2">
                  <c:v>2-5 Miles</c:v>
                </c:pt>
                <c:pt idx="3">
                  <c:v>5-10 Miles</c:v>
                </c:pt>
                <c:pt idx="4">
                  <c:v>More than 10 Miles</c:v>
                </c:pt>
              </c:strCache>
            </c:strRef>
          </c:cat>
          <c:val>
            <c:numRef>
              <c:f>PivotTable!$C$18:$C$23</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DD07-401D-A751-E82A123D8B88}"/>
            </c:ext>
          </c:extLst>
        </c:ser>
        <c:dLbls>
          <c:showLegendKey val="0"/>
          <c:showVal val="0"/>
          <c:showCatName val="0"/>
          <c:showSerName val="0"/>
          <c:showPercent val="0"/>
          <c:showBubbleSize val="0"/>
        </c:dLbls>
        <c:marker val="1"/>
        <c:smooth val="0"/>
        <c:axId val="1914269519"/>
        <c:axId val="1914283919"/>
      </c:lineChart>
      <c:catAx>
        <c:axId val="19142695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283919"/>
        <c:crosses val="autoZero"/>
        <c:auto val="1"/>
        <c:lblAlgn val="ctr"/>
        <c:lblOffset val="100"/>
        <c:noMultiLvlLbl val="0"/>
      </c:catAx>
      <c:valAx>
        <c:axId val="1914283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BIke purchased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26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Purchased By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PivotTable!$B$30:$B$31</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PivotTable!$A$32:$A$34</c:f>
              <c:strCache>
                <c:ptCount val="2"/>
                <c:pt idx="0">
                  <c:v>Middle Age</c:v>
                </c:pt>
                <c:pt idx="1">
                  <c:v>Old</c:v>
                </c:pt>
              </c:strCache>
            </c:strRef>
          </c:cat>
          <c:val>
            <c:numRef>
              <c:f>PivotTable!$B$32:$B$34</c:f>
              <c:numCache>
                <c:formatCode>General</c:formatCode>
                <c:ptCount val="2"/>
                <c:pt idx="0">
                  <c:v>25</c:v>
                </c:pt>
                <c:pt idx="1">
                  <c:v>15</c:v>
                </c:pt>
              </c:numCache>
            </c:numRef>
          </c:val>
          <c:smooth val="0"/>
          <c:extLst>
            <c:ext xmlns:c16="http://schemas.microsoft.com/office/drawing/2014/chart" uri="{C3380CC4-5D6E-409C-BE32-E72D297353CC}">
              <c16:uniqueId val="{00000000-C2F0-40C7-9EE1-793FDCD8F886}"/>
            </c:ext>
          </c:extLst>
        </c:ser>
        <c:ser>
          <c:idx val="1"/>
          <c:order val="1"/>
          <c:tx>
            <c:strRef>
              <c:f>PivotTable!$C$30:$C$31</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PivotTable!$A$32:$A$34</c:f>
              <c:strCache>
                <c:ptCount val="2"/>
                <c:pt idx="0">
                  <c:v>Middle Age</c:v>
                </c:pt>
                <c:pt idx="1">
                  <c:v>Old</c:v>
                </c:pt>
              </c:strCache>
            </c:strRef>
          </c:cat>
          <c:val>
            <c:numRef>
              <c:f>PivotTable!$C$32:$C$34</c:f>
              <c:numCache>
                <c:formatCode>General</c:formatCode>
                <c:ptCount val="2"/>
                <c:pt idx="0">
                  <c:v>30</c:v>
                </c:pt>
                <c:pt idx="1">
                  <c:v>1</c:v>
                </c:pt>
              </c:numCache>
            </c:numRef>
          </c:val>
          <c:smooth val="0"/>
          <c:extLst>
            <c:ext xmlns:c16="http://schemas.microsoft.com/office/drawing/2014/chart" uri="{C3380CC4-5D6E-409C-BE32-E72D297353CC}">
              <c16:uniqueId val="{00000001-C2F0-40C7-9EE1-793FDCD8F886}"/>
            </c:ext>
          </c:extLst>
        </c:ser>
        <c:dLbls>
          <c:showLegendKey val="0"/>
          <c:showVal val="0"/>
          <c:showCatName val="0"/>
          <c:showSerName val="0"/>
          <c:showPercent val="0"/>
          <c:showBubbleSize val="0"/>
        </c:dLbls>
        <c:marker val="1"/>
        <c:smooth val="0"/>
        <c:axId val="1914307919"/>
        <c:axId val="1914306959"/>
      </c:lineChart>
      <c:catAx>
        <c:axId val="1914307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306959"/>
        <c:crosses val="autoZero"/>
        <c:auto val="1"/>
        <c:lblAlgn val="ctr"/>
        <c:lblOffset val="100"/>
        <c:noMultiLvlLbl val="0"/>
      </c:catAx>
      <c:valAx>
        <c:axId val="1914306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3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Purchased By Gender With Their Income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PivotTable!$B$1:$B$2</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PivotTable!$A$3:$A$5</c:f>
              <c:strCache>
                <c:ptCount val="2"/>
                <c:pt idx="0">
                  <c:v>Female</c:v>
                </c:pt>
                <c:pt idx="1">
                  <c:v>Male</c:v>
                </c:pt>
              </c:strCache>
            </c:strRef>
          </c:cat>
          <c:val>
            <c:numRef>
              <c:f>PivotTable!$B$3:$B$5</c:f>
              <c:numCache>
                <c:formatCode>0</c:formatCode>
                <c:ptCount val="2"/>
                <c:pt idx="0">
                  <c:v>66428.571428571435</c:v>
                </c:pt>
                <c:pt idx="1">
                  <c:v>75384.61538461539</c:v>
                </c:pt>
              </c:numCache>
            </c:numRef>
          </c:val>
          <c:extLst>
            <c:ext xmlns:c16="http://schemas.microsoft.com/office/drawing/2014/chart" uri="{C3380CC4-5D6E-409C-BE32-E72D297353CC}">
              <c16:uniqueId val="{00000000-9828-49E2-8D23-C3C83832DB6F}"/>
            </c:ext>
          </c:extLst>
        </c:ser>
        <c:ser>
          <c:idx val="1"/>
          <c:order val="1"/>
          <c:tx>
            <c:strRef>
              <c:f>PivotTable!$C$1:$C$2</c:f>
              <c:strCache>
                <c:ptCount val="1"/>
                <c:pt idx="0">
                  <c:v>Yes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PivotTable!$A$3:$A$5</c:f>
              <c:strCache>
                <c:ptCount val="2"/>
                <c:pt idx="0">
                  <c:v>Female</c:v>
                </c:pt>
                <c:pt idx="1">
                  <c:v>Male</c:v>
                </c:pt>
              </c:strCache>
            </c:strRef>
          </c:cat>
          <c:val>
            <c:numRef>
              <c:f>PivotTable!$C$3:$C$5</c:f>
              <c:numCache>
                <c:formatCode>0</c:formatCode>
                <c:ptCount val="2"/>
                <c:pt idx="0">
                  <c:v>66000</c:v>
                </c:pt>
                <c:pt idx="1">
                  <c:v>70625</c:v>
                </c:pt>
              </c:numCache>
            </c:numRef>
          </c:val>
          <c:extLst>
            <c:ext xmlns:c16="http://schemas.microsoft.com/office/drawing/2014/chart" uri="{C3380CC4-5D6E-409C-BE32-E72D297353CC}">
              <c16:uniqueId val="{00000001-9828-49E2-8D23-C3C83832DB6F}"/>
            </c:ext>
          </c:extLst>
        </c:ser>
        <c:dLbls>
          <c:showLegendKey val="0"/>
          <c:showVal val="0"/>
          <c:showCatName val="0"/>
          <c:showSerName val="0"/>
          <c:showPercent val="0"/>
          <c:showBubbleSize val="0"/>
        </c:dLbls>
        <c:gapWidth val="100"/>
        <c:overlap val="-24"/>
        <c:axId val="1624785823"/>
        <c:axId val="1624786783"/>
      </c:barChart>
      <c:catAx>
        <c:axId val="1624785823"/>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4786783"/>
        <c:crosses val="autoZero"/>
        <c:auto val="1"/>
        <c:lblAlgn val="ctr"/>
        <c:lblOffset val="100"/>
        <c:noMultiLvlLbl val="0"/>
      </c:catAx>
      <c:valAx>
        <c:axId val="1624786783"/>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6247858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Purchased By Commute Distance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PivotTable!$B$16:$B$17</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PivotTable!$A$18:$A$23</c:f>
              <c:strCache>
                <c:ptCount val="5"/>
                <c:pt idx="0">
                  <c:v>0-1 Miles</c:v>
                </c:pt>
                <c:pt idx="1">
                  <c:v>1-2 Miles</c:v>
                </c:pt>
                <c:pt idx="2">
                  <c:v>2-5 Miles</c:v>
                </c:pt>
                <c:pt idx="3">
                  <c:v>5-10 Miles</c:v>
                </c:pt>
                <c:pt idx="4">
                  <c:v>More than 10 Miles</c:v>
                </c:pt>
              </c:strCache>
            </c:strRef>
          </c:cat>
          <c:val>
            <c:numRef>
              <c:f>PivotTable!$B$18:$B$23</c:f>
              <c:numCache>
                <c:formatCode>General</c:formatCode>
                <c:ptCount val="5"/>
                <c:pt idx="0">
                  <c:v>18</c:v>
                </c:pt>
                <c:pt idx="1">
                  <c:v>7</c:v>
                </c:pt>
                <c:pt idx="2">
                  <c:v>4</c:v>
                </c:pt>
                <c:pt idx="3">
                  <c:v>7</c:v>
                </c:pt>
                <c:pt idx="4">
                  <c:v>4</c:v>
                </c:pt>
              </c:numCache>
            </c:numRef>
          </c:val>
          <c:smooth val="0"/>
          <c:extLst>
            <c:ext xmlns:c16="http://schemas.microsoft.com/office/drawing/2014/chart" uri="{C3380CC4-5D6E-409C-BE32-E72D297353CC}">
              <c16:uniqueId val="{00000000-CA5D-48C1-A890-D359430B32FE}"/>
            </c:ext>
          </c:extLst>
        </c:ser>
        <c:ser>
          <c:idx val="1"/>
          <c:order val="1"/>
          <c:tx>
            <c:strRef>
              <c:f>PivotTable!$C$16:$C$17</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PivotTable!$A$18:$A$23</c:f>
              <c:strCache>
                <c:ptCount val="5"/>
                <c:pt idx="0">
                  <c:v>0-1 Miles</c:v>
                </c:pt>
                <c:pt idx="1">
                  <c:v>1-2 Miles</c:v>
                </c:pt>
                <c:pt idx="2">
                  <c:v>2-5 Miles</c:v>
                </c:pt>
                <c:pt idx="3">
                  <c:v>5-10 Miles</c:v>
                </c:pt>
                <c:pt idx="4">
                  <c:v>More than 10 Miles</c:v>
                </c:pt>
              </c:strCache>
            </c:strRef>
          </c:cat>
          <c:val>
            <c:numRef>
              <c:f>PivotTable!$C$18:$C$23</c:f>
              <c:numCache>
                <c:formatCode>General</c:formatCode>
                <c:ptCount val="5"/>
                <c:pt idx="0">
                  <c:v>13</c:v>
                </c:pt>
                <c:pt idx="1">
                  <c:v>5</c:v>
                </c:pt>
                <c:pt idx="2">
                  <c:v>12</c:v>
                </c:pt>
                <c:pt idx="3">
                  <c:v>1</c:v>
                </c:pt>
              </c:numCache>
            </c:numRef>
          </c:val>
          <c:smooth val="0"/>
          <c:extLst>
            <c:ext xmlns:c16="http://schemas.microsoft.com/office/drawing/2014/chart" uri="{C3380CC4-5D6E-409C-BE32-E72D297353CC}">
              <c16:uniqueId val="{00000001-CA5D-48C1-A890-D359430B32FE}"/>
            </c:ext>
          </c:extLst>
        </c:ser>
        <c:dLbls>
          <c:showLegendKey val="0"/>
          <c:showVal val="0"/>
          <c:showCatName val="0"/>
          <c:showSerName val="0"/>
          <c:showPercent val="0"/>
          <c:showBubbleSize val="0"/>
        </c:dLbls>
        <c:marker val="1"/>
        <c:smooth val="0"/>
        <c:axId val="1914269519"/>
        <c:axId val="1914283919"/>
      </c:lineChart>
      <c:catAx>
        <c:axId val="19142695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283919"/>
        <c:crosses val="autoZero"/>
        <c:auto val="1"/>
        <c:lblAlgn val="ctr"/>
        <c:lblOffset val="100"/>
        <c:noMultiLvlLbl val="0"/>
      </c:catAx>
      <c:valAx>
        <c:axId val="191428391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BIke purchased</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269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Dataset.xlsx]PivotTable!PivotTable3</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Bike Purchased By Age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NG"/>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PivotTable!$B$30:$B$31</c:f>
              <c:strCache>
                <c:ptCount val="1"/>
                <c:pt idx="0">
                  <c:v>No</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PivotTable!$A$32:$A$34</c:f>
              <c:strCache>
                <c:ptCount val="2"/>
                <c:pt idx="0">
                  <c:v>Middle Age</c:v>
                </c:pt>
                <c:pt idx="1">
                  <c:v>Old</c:v>
                </c:pt>
              </c:strCache>
            </c:strRef>
          </c:cat>
          <c:val>
            <c:numRef>
              <c:f>PivotTable!$B$32:$B$34</c:f>
              <c:numCache>
                <c:formatCode>General</c:formatCode>
                <c:ptCount val="2"/>
                <c:pt idx="0">
                  <c:v>25</c:v>
                </c:pt>
                <c:pt idx="1">
                  <c:v>15</c:v>
                </c:pt>
              </c:numCache>
            </c:numRef>
          </c:val>
          <c:smooth val="0"/>
          <c:extLst>
            <c:ext xmlns:c16="http://schemas.microsoft.com/office/drawing/2014/chart" uri="{C3380CC4-5D6E-409C-BE32-E72D297353CC}">
              <c16:uniqueId val="{00000000-2BEB-428C-AE9C-2563639DE457}"/>
            </c:ext>
          </c:extLst>
        </c:ser>
        <c:ser>
          <c:idx val="1"/>
          <c:order val="1"/>
          <c:tx>
            <c:strRef>
              <c:f>PivotTable!$C$30:$C$31</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PivotTable!$A$32:$A$34</c:f>
              <c:strCache>
                <c:ptCount val="2"/>
                <c:pt idx="0">
                  <c:v>Middle Age</c:v>
                </c:pt>
                <c:pt idx="1">
                  <c:v>Old</c:v>
                </c:pt>
              </c:strCache>
            </c:strRef>
          </c:cat>
          <c:val>
            <c:numRef>
              <c:f>PivotTable!$C$32:$C$34</c:f>
              <c:numCache>
                <c:formatCode>General</c:formatCode>
                <c:ptCount val="2"/>
                <c:pt idx="0">
                  <c:v>30</c:v>
                </c:pt>
                <c:pt idx="1">
                  <c:v>1</c:v>
                </c:pt>
              </c:numCache>
            </c:numRef>
          </c:val>
          <c:smooth val="0"/>
          <c:extLst>
            <c:ext xmlns:c16="http://schemas.microsoft.com/office/drawing/2014/chart" uri="{C3380CC4-5D6E-409C-BE32-E72D297353CC}">
              <c16:uniqueId val="{00000001-2BEB-428C-AE9C-2563639DE457}"/>
            </c:ext>
          </c:extLst>
        </c:ser>
        <c:dLbls>
          <c:showLegendKey val="0"/>
          <c:showVal val="0"/>
          <c:showCatName val="0"/>
          <c:showSerName val="0"/>
          <c:showPercent val="0"/>
          <c:showBubbleSize val="0"/>
        </c:dLbls>
        <c:marker val="1"/>
        <c:smooth val="0"/>
        <c:axId val="1914307919"/>
        <c:axId val="1914306959"/>
      </c:lineChart>
      <c:catAx>
        <c:axId val="191430791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NG"/>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306959"/>
        <c:crosses val="autoZero"/>
        <c:auto val="1"/>
        <c:lblAlgn val="ctr"/>
        <c:lblOffset val="100"/>
        <c:noMultiLvlLbl val="0"/>
      </c:catAx>
      <c:valAx>
        <c:axId val="191430695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crossAx val="1914307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N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47625</xdr:colOff>
      <xdr:row>0</xdr:row>
      <xdr:rowOff>123825</xdr:rowOff>
    </xdr:from>
    <xdr:to>
      <xdr:col>12</xdr:col>
      <xdr:colOff>523875</xdr:colOff>
      <xdr:row>13</xdr:row>
      <xdr:rowOff>1</xdr:rowOff>
    </xdr:to>
    <xdr:graphicFrame macro="">
      <xdr:nvGraphicFramePr>
        <xdr:cNvPr id="2" name="Chart 1">
          <a:extLst>
            <a:ext uri="{FF2B5EF4-FFF2-40B4-BE49-F238E27FC236}">
              <a16:creationId xmlns:a16="http://schemas.microsoft.com/office/drawing/2014/main" id="{F105A983-EA52-2869-9154-D5E2F7D92D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28575</xdr:colOff>
      <xdr:row>13</xdr:row>
      <xdr:rowOff>66674</xdr:rowOff>
    </xdr:from>
    <xdr:to>
      <xdr:col>15</xdr:col>
      <xdr:colOff>333375</xdr:colOff>
      <xdr:row>27</xdr:row>
      <xdr:rowOff>114300</xdr:rowOff>
    </xdr:to>
    <xdr:graphicFrame macro="">
      <xdr:nvGraphicFramePr>
        <xdr:cNvPr id="3" name="Chart 2">
          <a:extLst>
            <a:ext uri="{FF2B5EF4-FFF2-40B4-BE49-F238E27FC236}">
              <a16:creationId xmlns:a16="http://schemas.microsoft.com/office/drawing/2014/main" id="{38973261-4682-519B-4BB5-19A5D43C97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123825</xdr:colOff>
      <xdr:row>29</xdr:row>
      <xdr:rowOff>157162</xdr:rowOff>
    </xdr:from>
    <xdr:to>
      <xdr:col>11</xdr:col>
      <xdr:colOff>428625</xdr:colOff>
      <xdr:row>44</xdr:row>
      <xdr:rowOff>42862</xdr:rowOff>
    </xdr:to>
    <xdr:graphicFrame macro="">
      <xdr:nvGraphicFramePr>
        <xdr:cNvPr id="4" name="Chart 3">
          <a:extLst>
            <a:ext uri="{FF2B5EF4-FFF2-40B4-BE49-F238E27FC236}">
              <a16:creationId xmlns:a16="http://schemas.microsoft.com/office/drawing/2014/main" id="{002A8014-36B7-5D4B-229F-FFAB478FB3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268243</xdr:colOff>
      <xdr:row>6</xdr:row>
      <xdr:rowOff>5051</xdr:rowOff>
    </xdr:from>
    <xdr:to>
      <xdr:col>9</xdr:col>
      <xdr:colOff>273936</xdr:colOff>
      <xdr:row>18</xdr:row>
      <xdr:rowOff>67585</xdr:rowOff>
    </xdr:to>
    <xdr:graphicFrame macro="">
      <xdr:nvGraphicFramePr>
        <xdr:cNvPr id="2" name="Chart 1">
          <a:extLst>
            <a:ext uri="{FF2B5EF4-FFF2-40B4-BE49-F238E27FC236}">
              <a16:creationId xmlns:a16="http://schemas.microsoft.com/office/drawing/2014/main" id="{71F0D0BE-2CEC-414F-BBB9-5C06502EBD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245807</xdr:colOff>
      <xdr:row>18</xdr:row>
      <xdr:rowOff>87502</xdr:rowOff>
    </xdr:from>
    <xdr:to>
      <xdr:col>15</xdr:col>
      <xdr:colOff>7003</xdr:colOff>
      <xdr:row>32</xdr:row>
      <xdr:rowOff>135127</xdr:rowOff>
    </xdr:to>
    <xdr:graphicFrame macro="">
      <xdr:nvGraphicFramePr>
        <xdr:cNvPr id="3" name="Chart 2">
          <a:extLst>
            <a:ext uri="{FF2B5EF4-FFF2-40B4-BE49-F238E27FC236}">
              <a16:creationId xmlns:a16="http://schemas.microsoft.com/office/drawing/2014/main" id="{291C460E-6DD1-408D-ACE8-254A47EAC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298545</xdr:colOff>
      <xdr:row>6</xdr:row>
      <xdr:rowOff>1514</xdr:rowOff>
    </xdr:from>
    <xdr:to>
      <xdr:col>15</xdr:col>
      <xdr:colOff>4716</xdr:colOff>
      <xdr:row>18</xdr:row>
      <xdr:rowOff>66015</xdr:rowOff>
    </xdr:to>
    <xdr:graphicFrame macro="">
      <xdr:nvGraphicFramePr>
        <xdr:cNvPr id="6" name="Chart 5">
          <a:extLst>
            <a:ext uri="{FF2B5EF4-FFF2-40B4-BE49-F238E27FC236}">
              <a16:creationId xmlns:a16="http://schemas.microsoft.com/office/drawing/2014/main" id="{16200281-2C39-450D-BE74-2E69B5D43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16899</xdr:colOff>
      <xdr:row>6</xdr:row>
      <xdr:rowOff>21201</xdr:rowOff>
    </xdr:from>
    <xdr:to>
      <xdr:col>3</xdr:col>
      <xdr:colOff>257175</xdr:colOff>
      <xdr:row>11</xdr:row>
      <xdr:rowOff>133350</xdr:rowOff>
    </xdr:to>
    <mc:AlternateContent xmlns:mc="http://schemas.openxmlformats.org/markup-compatibility/2006">
      <mc:Choice xmlns:a14="http://schemas.microsoft.com/office/drawing/2010/main" Requires="a14">
        <xdr:graphicFrame macro="">
          <xdr:nvGraphicFramePr>
            <xdr:cNvPr id="7" name="Marital Status">
              <a:extLst>
                <a:ext uri="{FF2B5EF4-FFF2-40B4-BE49-F238E27FC236}">
                  <a16:creationId xmlns:a16="http://schemas.microsoft.com/office/drawing/2014/main" id="{8331C4A5-5AFD-A220-B171-16C5E78BC45D}"/>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6899" y="1187528"/>
              <a:ext cx="2077240" cy="1084087"/>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190841</xdr:rowOff>
    </xdr:from>
    <xdr:to>
      <xdr:col>3</xdr:col>
      <xdr:colOff>248478</xdr:colOff>
      <xdr:row>21</xdr:row>
      <xdr:rowOff>57416</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E736A35D-DAC1-AB96-3AEC-2AC3FE07D7DC}"/>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2329106"/>
              <a:ext cx="2085442" cy="1810453"/>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42038</xdr:colOff>
      <xdr:row>21</xdr:row>
      <xdr:rowOff>82652</xdr:rowOff>
    </xdr:from>
    <xdr:to>
      <xdr:col>3</xdr:col>
      <xdr:colOff>238125</xdr:colOff>
      <xdr:row>32</xdr:row>
      <xdr:rowOff>109483</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9C47E381-FDAB-EC07-9D15-4A1FE56545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2038" y="4164795"/>
              <a:ext cx="2033051" cy="2165096"/>
            </a:xfrm>
            <a:prstGeom prst="rect">
              <a:avLst/>
            </a:prstGeom>
            <a:solidFill>
              <a:prstClr val="white"/>
            </a:solidFill>
            <a:ln w="1">
              <a:solidFill>
                <a:prstClr val="green"/>
              </a:solidFill>
            </a:ln>
          </xdr:spPr>
          <xdr:txBody>
            <a:bodyPr vertOverflow="clip" horzOverflow="clip"/>
            <a:lstStyle/>
            <a:p>
              <a:r>
                <a:rPr lang="en-N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hammed Awwal" refreshedDate="46301.326695601849" createdVersion="8" refreshedVersion="8" minRefreshableVersion="3" recordCount="1000" xr:uid="{B5FE13E2-1018-4D1E-9E15-BF03B43AA50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5">
        <s v="0-1 Miles"/>
        <s v="2-5 Miles"/>
        <s v="5-10 Miles"/>
        <s v="1-2 Miles"/>
        <s v="More than 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Bracket" numFmtId="0">
      <sharedItems count="4">
        <s v="Middle Age"/>
        <s v="Old"/>
        <s v="Adoles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9255766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D71A218-C310-489F-8234-5B938F5127FA}"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0:D34" firstHeaderRow="1" firstDataRow="2" firstDataCol="1"/>
  <pivotFields count="14">
    <pivotField showAll="0"/>
    <pivotField showAll="0">
      <items count="3">
        <item x="0"/>
        <item h="1" x="1"/>
        <item t="default"/>
      </items>
    </pivotField>
    <pivotField showAll="0"/>
    <pivotField dataField="1" numFmtId="1"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5">
        <item x="2"/>
        <item m="1" x="3"/>
        <item x="0"/>
        <item x="1"/>
        <item t="default"/>
      </items>
    </pivotField>
    <pivotField axis="axisCol" showAll="0">
      <items count="3">
        <item x="0"/>
        <item x="1"/>
        <item t="default"/>
      </items>
    </pivotField>
  </pivotFields>
  <rowFields count="1">
    <field x="12"/>
  </rowFields>
  <rowItems count="3">
    <i>
      <x v="2"/>
    </i>
    <i>
      <x v="3"/>
    </i>
    <i t="grand">
      <x/>
    </i>
  </rowItems>
  <colFields count="1">
    <field x="13"/>
  </colFields>
  <colItems count="3">
    <i>
      <x/>
    </i>
    <i>
      <x v="1"/>
    </i>
    <i t="grand">
      <x/>
    </i>
  </colItems>
  <dataFields count="1">
    <dataField name="Count of Purchased Bike By Age" fld="3" subtotal="count" baseField="1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7A388-8E6E-425D-A4AF-1DC2A488700F}"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6:D23" firstHeaderRow="1" firstDataRow="2" firstDataCol="1"/>
  <pivotFields count="14">
    <pivotField showAll="0"/>
    <pivotField showAll="0">
      <items count="3">
        <item x="0"/>
        <item h="1" x="1"/>
        <item t="default"/>
      </items>
    </pivotField>
    <pivotField showAll="0"/>
    <pivotField dataField="1" numFmtId="1" showAll="0"/>
    <pivotField showAll="0"/>
    <pivotField showAll="0">
      <items count="6">
        <item h="1" x="0"/>
        <item x="4"/>
        <item h="1" x="2"/>
        <item h="1" x="1"/>
        <item h="1" x="3"/>
        <item t="default"/>
      </items>
    </pivotField>
    <pivotField showAll="0"/>
    <pivotField showAll="0"/>
    <pivotField showAll="0"/>
    <pivotField axis="axisRow" showAll="0">
      <items count="6">
        <item x="0"/>
        <item x="3"/>
        <item x="1"/>
        <item x="2"/>
        <item x="4"/>
        <item t="default"/>
      </items>
    </pivotField>
    <pivotField showAll="0">
      <items count="4">
        <item h="1" x="0"/>
        <item x="2"/>
        <item h="1" x="1"/>
        <item t="default"/>
      </items>
    </pivotField>
    <pivotField showAll="0"/>
    <pivotField showAll="0"/>
    <pivotField axis="axisCol" showAll="0">
      <items count="3">
        <item x="0"/>
        <item x="1"/>
        <item t="default"/>
      </items>
    </pivotField>
  </pivotFields>
  <rowFields count="1">
    <field x="9"/>
  </rowFields>
  <rowItems count="6">
    <i>
      <x/>
    </i>
    <i>
      <x v="1"/>
    </i>
    <i>
      <x v="2"/>
    </i>
    <i>
      <x v="3"/>
    </i>
    <i>
      <x v="4"/>
    </i>
    <i t="grand">
      <x/>
    </i>
  </rowItems>
  <colFields count="1">
    <field x="13"/>
  </colFields>
  <colItems count="3">
    <i>
      <x/>
    </i>
    <i>
      <x v="1"/>
    </i>
    <i t="grand">
      <x/>
    </i>
  </colItems>
  <dataFields count="1">
    <dataField name="Count of Purchased Bike" fld="3" subtotal="count" baseField="9"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DCBF0CD-AD46-419E-83F6-B9388741B954}"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D5"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 showAll="0"/>
    <pivotField showAll="0"/>
    <pivotField showAll="0">
      <items count="6">
        <item h="1" x="0"/>
        <item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6707E35-6A26-4CC0-B419-0FF7577373E4}" sourceName="Marital Status">
  <pivotTables>
    <pivotTable tabId="3" name="PivotTable1"/>
    <pivotTable tabId="3" name="PivotTable2"/>
    <pivotTable tabId="3" name="PivotTable3"/>
  </pivotTables>
  <data>
    <tabular pivotCacheId="925576625">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DF0C26F7-E848-40D5-901B-739648EF7EE4}" sourceName="Education">
  <pivotTables>
    <pivotTable tabId="3" name="PivotTable1"/>
    <pivotTable tabId="3" name="PivotTable2"/>
    <pivotTable tabId="3" name="PivotTable3"/>
  </pivotTables>
  <data>
    <tabular pivotCacheId="925576625">
      <items count="5">
        <i x="0"/>
        <i x="4" s="1"/>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5B7E015-F1DB-4012-9FF1-F099A501F4BB}" sourceName="Region">
  <pivotTables>
    <pivotTable tabId="3" name="PivotTable1"/>
    <pivotTable tabId="3" name="PivotTable2"/>
    <pivotTable tabId="3" name="PivotTable3"/>
  </pivotTables>
  <data>
    <tabular pivotCacheId="925576625">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FA725A2-B315-4975-BC8A-E6F2627F1681}" cache="Slicer_Marital_Status" caption="Marital Status" style="SlicerStyleDark6" rowHeight="241300"/>
  <slicer name="Education" xr10:uid="{AC46FBA4-2299-4AC1-B760-BFFEF1138D3A}" cache="Slicer_Education" caption="Education" style="SlicerStyleDark6" rowHeight="241300"/>
  <slicer name="Region" xr10:uid="{63E00940-2723-4702-A6F0-64F710465C8B}" cache="Slicer_Region" caption="Region" style="SlicerStyleDark6"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abSelected="1" topLeftCell="D3" zoomScale="106" zoomScaleNormal="106" workbookViewId="0">
      <selection activeCell="P3" sqref="P3"/>
    </sheetView>
  </sheetViews>
  <sheetFormatPr defaultColWidth="11.85546875" defaultRowHeight="15" x14ac:dyDescent="0.25"/>
  <cols>
    <col min="4" max="4" width="15.85546875" customWidth="1"/>
    <col min="6" max="6" width="17.4257812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E3A895-EEDD-42F3-B61A-BC9142227518}">
  <dimension ref="A1:N1001"/>
  <sheetViews>
    <sheetView topLeftCell="C2" zoomScaleNormal="100" workbookViewId="0">
      <selection activeCell="M2" sqref="M2:M1001"/>
    </sheetView>
  </sheetViews>
  <sheetFormatPr defaultRowHeight="15" x14ac:dyDescent="0.25"/>
  <cols>
    <col min="2" max="2" width="15.42578125" customWidth="1"/>
    <col min="3" max="3" width="14.5703125" customWidth="1"/>
    <col min="4" max="4" width="12.140625" style="3" customWidth="1"/>
    <col min="6" max="6" width="20.140625" customWidth="1"/>
    <col min="7" max="7" width="15.140625" customWidth="1"/>
    <col min="8" max="8" width="14.5703125" customWidth="1"/>
    <col min="9" max="9" width="12.7109375" customWidth="1"/>
    <col min="10" max="10" width="21.140625" customWidth="1"/>
    <col min="11" max="11" width="14.5703125" customWidth="1"/>
    <col min="12" max="12" width="13" customWidth="1"/>
    <col min="13" max="13" width="23.42578125" customWidth="1"/>
    <col min="14" max="14" width="16.28515625" customWidth="1"/>
  </cols>
  <sheetData>
    <row r="1" spans="1:14" x14ac:dyDescent="0.25">
      <c r="A1" t="s">
        <v>0</v>
      </c>
      <c r="B1" t="s">
        <v>1</v>
      </c>
      <c r="C1" t="s">
        <v>2</v>
      </c>
      <c r="D1" s="3" t="s">
        <v>3</v>
      </c>
      <c r="E1" t="s">
        <v>4</v>
      </c>
      <c r="F1" t="s">
        <v>5</v>
      </c>
      <c r="G1" t="s">
        <v>6</v>
      </c>
      <c r="H1" t="s">
        <v>7</v>
      </c>
      <c r="I1" t="s">
        <v>8</v>
      </c>
      <c r="J1" t="s">
        <v>9</v>
      </c>
      <c r="K1" t="s">
        <v>10</v>
      </c>
      <c r="L1" t="s">
        <v>11</v>
      </c>
      <c r="M1" t="s">
        <v>41</v>
      </c>
      <c r="N1" t="s">
        <v>12</v>
      </c>
    </row>
    <row r="2" spans="1:14" x14ac:dyDescent="0.25">
      <c r="A2">
        <v>12496</v>
      </c>
      <c r="B2" t="s">
        <v>36</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5">
      <c r="A3">
        <v>24107</v>
      </c>
      <c r="B3" t="s">
        <v>36</v>
      </c>
      <c r="C3" t="s">
        <v>39</v>
      </c>
      <c r="D3" s="3">
        <v>30000</v>
      </c>
      <c r="E3">
        <v>3</v>
      </c>
      <c r="F3" t="s">
        <v>19</v>
      </c>
      <c r="G3" t="s">
        <v>20</v>
      </c>
      <c r="H3" t="s">
        <v>15</v>
      </c>
      <c r="I3">
        <v>1</v>
      </c>
      <c r="J3" t="s">
        <v>16</v>
      </c>
      <c r="K3" t="s">
        <v>17</v>
      </c>
      <c r="L3">
        <v>43</v>
      </c>
      <c r="M3" t="str">
        <f t="shared" ref="M3:M66" si="0">IF(L3&gt;54,"Old",IF(L3&gt;=31,"Middle Age",IF(L3&lt;31,"Adolescent","Invalid")))</f>
        <v>Middle Age</v>
      </c>
      <c r="N3" t="s">
        <v>18</v>
      </c>
    </row>
    <row r="4" spans="1:14" x14ac:dyDescent="0.25">
      <c r="A4">
        <v>14177</v>
      </c>
      <c r="B4" t="s">
        <v>36</v>
      </c>
      <c r="C4" t="s">
        <v>39</v>
      </c>
      <c r="D4" s="3">
        <v>80000</v>
      </c>
      <c r="E4">
        <v>5</v>
      </c>
      <c r="F4" t="s">
        <v>19</v>
      </c>
      <c r="G4" t="s">
        <v>21</v>
      </c>
      <c r="H4" t="s">
        <v>18</v>
      </c>
      <c r="I4">
        <v>2</v>
      </c>
      <c r="J4" t="s">
        <v>22</v>
      </c>
      <c r="K4" t="s">
        <v>17</v>
      </c>
      <c r="L4">
        <v>60</v>
      </c>
      <c r="M4" t="str">
        <f t="shared" si="0"/>
        <v>Old</v>
      </c>
      <c r="N4" t="s">
        <v>18</v>
      </c>
    </row>
    <row r="5" spans="1:14" x14ac:dyDescent="0.25">
      <c r="A5">
        <v>24381</v>
      </c>
      <c r="B5" t="s">
        <v>37</v>
      </c>
      <c r="C5" t="s">
        <v>39</v>
      </c>
      <c r="D5" s="3">
        <v>70000</v>
      </c>
      <c r="E5">
        <v>0</v>
      </c>
      <c r="F5" t="s">
        <v>13</v>
      </c>
      <c r="G5" t="s">
        <v>21</v>
      </c>
      <c r="H5" t="s">
        <v>15</v>
      </c>
      <c r="I5">
        <v>1</v>
      </c>
      <c r="J5" t="s">
        <v>23</v>
      </c>
      <c r="K5" t="s">
        <v>24</v>
      </c>
      <c r="L5">
        <v>41</v>
      </c>
      <c r="M5" t="str">
        <f t="shared" si="0"/>
        <v>Middle Age</v>
      </c>
      <c r="N5" t="s">
        <v>15</v>
      </c>
    </row>
    <row r="6" spans="1:14" x14ac:dyDescent="0.25">
      <c r="A6">
        <v>25597</v>
      </c>
      <c r="B6" t="s">
        <v>37</v>
      </c>
      <c r="C6" t="s">
        <v>39</v>
      </c>
      <c r="D6" s="3">
        <v>30000</v>
      </c>
      <c r="E6">
        <v>0</v>
      </c>
      <c r="F6" t="s">
        <v>13</v>
      </c>
      <c r="G6" t="s">
        <v>20</v>
      </c>
      <c r="H6" t="s">
        <v>18</v>
      </c>
      <c r="I6">
        <v>0</v>
      </c>
      <c r="J6" t="s">
        <v>16</v>
      </c>
      <c r="K6" t="s">
        <v>17</v>
      </c>
      <c r="L6">
        <v>36</v>
      </c>
      <c r="M6" t="str">
        <f t="shared" si="0"/>
        <v>Middle Age</v>
      </c>
      <c r="N6" t="s">
        <v>15</v>
      </c>
    </row>
    <row r="7" spans="1:14" x14ac:dyDescent="0.25">
      <c r="A7">
        <v>13507</v>
      </c>
      <c r="B7" t="s">
        <v>36</v>
      </c>
      <c r="C7" t="s">
        <v>38</v>
      </c>
      <c r="D7" s="3">
        <v>10000</v>
      </c>
      <c r="E7">
        <v>2</v>
      </c>
      <c r="F7" t="s">
        <v>19</v>
      </c>
      <c r="G7" t="s">
        <v>25</v>
      </c>
      <c r="H7" t="s">
        <v>15</v>
      </c>
      <c r="I7">
        <v>0</v>
      </c>
      <c r="J7" t="s">
        <v>26</v>
      </c>
      <c r="K7" t="s">
        <v>17</v>
      </c>
      <c r="L7">
        <v>50</v>
      </c>
      <c r="M7" t="str">
        <f t="shared" si="0"/>
        <v>Middle Age</v>
      </c>
      <c r="N7" t="s">
        <v>18</v>
      </c>
    </row>
    <row r="8" spans="1:14" x14ac:dyDescent="0.25">
      <c r="A8">
        <v>27974</v>
      </c>
      <c r="B8" t="s">
        <v>37</v>
      </c>
      <c r="C8" t="s">
        <v>39</v>
      </c>
      <c r="D8" s="3">
        <v>160000</v>
      </c>
      <c r="E8">
        <v>2</v>
      </c>
      <c r="F8" t="s">
        <v>27</v>
      </c>
      <c r="G8" t="s">
        <v>28</v>
      </c>
      <c r="H8" t="s">
        <v>15</v>
      </c>
      <c r="I8">
        <v>4</v>
      </c>
      <c r="J8" t="s">
        <v>16</v>
      </c>
      <c r="K8" t="s">
        <v>24</v>
      </c>
      <c r="L8">
        <v>33</v>
      </c>
      <c r="M8" t="str">
        <f t="shared" si="0"/>
        <v>Middle Age</v>
      </c>
      <c r="N8" t="s">
        <v>15</v>
      </c>
    </row>
    <row r="9" spans="1:14" x14ac:dyDescent="0.25">
      <c r="A9">
        <v>19364</v>
      </c>
      <c r="B9" t="s">
        <v>36</v>
      </c>
      <c r="C9" t="s">
        <v>39</v>
      </c>
      <c r="D9" s="3">
        <v>40000</v>
      </c>
      <c r="E9">
        <v>1</v>
      </c>
      <c r="F9" t="s">
        <v>13</v>
      </c>
      <c r="G9" t="s">
        <v>14</v>
      </c>
      <c r="H9" t="s">
        <v>15</v>
      </c>
      <c r="I9">
        <v>0</v>
      </c>
      <c r="J9" t="s">
        <v>16</v>
      </c>
      <c r="K9" t="s">
        <v>17</v>
      </c>
      <c r="L9">
        <v>43</v>
      </c>
      <c r="M9" t="str">
        <f t="shared" si="0"/>
        <v>Middle Age</v>
      </c>
      <c r="N9" t="s">
        <v>15</v>
      </c>
    </row>
    <row r="10" spans="1:14" x14ac:dyDescent="0.25">
      <c r="A10">
        <v>22155</v>
      </c>
      <c r="B10" t="s">
        <v>36</v>
      </c>
      <c r="C10" t="s">
        <v>39</v>
      </c>
      <c r="D10" s="3">
        <v>20000</v>
      </c>
      <c r="E10">
        <v>2</v>
      </c>
      <c r="F10" t="s">
        <v>29</v>
      </c>
      <c r="G10" t="s">
        <v>20</v>
      </c>
      <c r="H10" t="s">
        <v>15</v>
      </c>
      <c r="I10">
        <v>2</v>
      </c>
      <c r="J10" t="s">
        <v>23</v>
      </c>
      <c r="K10" t="s">
        <v>24</v>
      </c>
      <c r="L10">
        <v>58</v>
      </c>
      <c r="M10" t="str">
        <f t="shared" si="0"/>
        <v>Old</v>
      </c>
      <c r="N10" t="s">
        <v>18</v>
      </c>
    </row>
    <row r="11" spans="1:14" x14ac:dyDescent="0.25">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25">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25">
      <c r="A13">
        <v>12697</v>
      </c>
      <c r="B13" t="s">
        <v>37</v>
      </c>
      <c r="C13" t="s">
        <v>38</v>
      </c>
      <c r="D13" s="3">
        <v>90000</v>
      </c>
      <c r="E13">
        <v>0</v>
      </c>
      <c r="F13" t="s">
        <v>13</v>
      </c>
      <c r="G13" t="s">
        <v>21</v>
      </c>
      <c r="H13" t="s">
        <v>18</v>
      </c>
      <c r="I13">
        <v>4</v>
      </c>
      <c r="J13" t="s">
        <v>40</v>
      </c>
      <c r="K13" t="s">
        <v>24</v>
      </c>
      <c r="L13">
        <v>36</v>
      </c>
      <c r="M13" t="str">
        <f t="shared" si="0"/>
        <v>Middle Age</v>
      </c>
      <c r="N13" t="s">
        <v>18</v>
      </c>
    </row>
    <row r="14" spans="1:14" x14ac:dyDescent="0.25">
      <c r="A14">
        <v>11434</v>
      </c>
      <c r="B14" t="s">
        <v>36</v>
      </c>
      <c r="C14" t="s">
        <v>39</v>
      </c>
      <c r="D14" s="3">
        <v>170000</v>
      </c>
      <c r="E14">
        <v>5</v>
      </c>
      <c r="F14" t="s">
        <v>19</v>
      </c>
      <c r="G14" t="s">
        <v>21</v>
      </c>
      <c r="H14" t="s">
        <v>15</v>
      </c>
      <c r="I14">
        <v>0</v>
      </c>
      <c r="J14" t="s">
        <v>16</v>
      </c>
      <c r="K14" t="s">
        <v>17</v>
      </c>
      <c r="L14">
        <v>55</v>
      </c>
      <c r="M14" t="str">
        <f t="shared" si="0"/>
        <v>Old</v>
      </c>
      <c r="N14" t="s">
        <v>18</v>
      </c>
    </row>
    <row r="15" spans="1:14" x14ac:dyDescent="0.25">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25">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25">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25">
      <c r="A18">
        <v>23316</v>
      </c>
      <c r="B18" t="s">
        <v>37</v>
      </c>
      <c r="C18" t="s">
        <v>39</v>
      </c>
      <c r="D18" s="3">
        <v>30000</v>
      </c>
      <c r="E18">
        <v>3</v>
      </c>
      <c r="F18" t="s">
        <v>19</v>
      </c>
      <c r="G18" t="s">
        <v>20</v>
      </c>
      <c r="H18" t="s">
        <v>18</v>
      </c>
      <c r="I18">
        <v>2</v>
      </c>
      <c r="J18" t="s">
        <v>26</v>
      </c>
      <c r="K18" t="s">
        <v>24</v>
      </c>
      <c r="L18">
        <v>59</v>
      </c>
      <c r="M18" t="str">
        <f t="shared" si="0"/>
        <v>Old</v>
      </c>
      <c r="N18" t="s">
        <v>15</v>
      </c>
    </row>
    <row r="19" spans="1:14" x14ac:dyDescent="0.25">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25">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25">
      <c r="A21">
        <v>25940</v>
      </c>
      <c r="B21" t="s">
        <v>37</v>
      </c>
      <c r="C21" t="s">
        <v>39</v>
      </c>
      <c r="D21" s="3">
        <v>20000</v>
      </c>
      <c r="E21">
        <v>2</v>
      </c>
      <c r="F21" t="s">
        <v>29</v>
      </c>
      <c r="G21" t="s">
        <v>20</v>
      </c>
      <c r="H21" t="s">
        <v>15</v>
      </c>
      <c r="I21">
        <v>2</v>
      </c>
      <c r="J21" t="s">
        <v>23</v>
      </c>
      <c r="K21" t="s">
        <v>24</v>
      </c>
      <c r="L21">
        <v>55</v>
      </c>
      <c r="M21" t="str">
        <f t="shared" si="0"/>
        <v>Old</v>
      </c>
      <c r="N21" t="s">
        <v>15</v>
      </c>
    </row>
    <row r="22" spans="1:14" x14ac:dyDescent="0.25">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25">
      <c r="A23">
        <v>21564</v>
      </c>
      <c r="B23" t="s">
        <v>37</v>
      </c>
      <c r="C23" t="s">
        <v>38</v>
      </c>
      <c r="D23" s="3">
        <v>80000</v>
      </c>
      <c r="E23">
        <v>0</v>
      </c>
      <c r="F23" t="s">
        <v>13</v>
      </c>
      <c r="G23" t="s">
        <v>21</v>
      </c>
      <c r="H23" t="s">
        <v>15</v>
      </c>
      <c r="I23">
        <v>4</v>
      </c>
      <c r="J23" t="s">
        <v>40</v>
      </c>
      <c r="K23" t="s">
        <v>24</v>
      </c>
      <c r="L23">
        <v>35</v>
      </c>
      <c r="M23" t="str">
        <f t="shared" si="0"/>
        <v>Middle Age</v>
      </c>
      <c r="N23" t="s">
        <v>18</v>
      </c>
    </row>
    <row r="24" spans="1:14" x14ac:dyDescent="0.25">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25">
      <c r="A25">
        <v>26412</v>
      </c>
      <c r="B25" t="s">
        <v>36</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25">
      <c r="A27">
        <v>12590</v>
      </c>
      <c r="B27" t="s">
        <v>37</v>
      </c>
      <c r="C27" t="s">
        <v>39</v>
      </c>
      <c r="D27" s="3">
        <v>30000</v>
      </c>
      <c r="E27">
        <v>1</v>
      </c>
      <c r="F27" t="s">
        <v>13</v>
      </c>
      <c r="G27" t="s">
        <v>20</v>
      </c>
      <c r="H27" t="s">
        <v>15</v>
      </c>
      <c r="I27">
        <v>0</v>
      </c>
      <c r="J27" t="s">
        <v>16</v>
      </c>
      <c r="K27" t="s">
        <v>17</v>
      </c>
      <c r="L27">
        <v>63</v>
      </c>
      <c r="M27" t="str">
        <f t="shared" si="0"/>
        <v>Old</v>
      </c>
      <c r="N27" t="s">
        <v>18</v>
      </c>
    </row>
    <row r="28" spans="1:14" x14ac:dyDescent="0.25">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25">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25">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25">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25">
      <c r="A32">
        <v>19273</v>
      </c>
      <c r="B32" t="s">
        <v>36</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25">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25">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25">
      <c r="A36">
        <v>12291</v>
      </c>
      <c r="B36" t="s">
        <v>37</v>
      </c>
      <c r="C36" t="s">
        <v>39</v>
      </c>
      <c r="D36" s="3">
        <v>90000</v>
      </c>
      <c r="E36">
        <v>5</v>
      </c>
      <c r="F36" t="s">
        <v>19</v>
      </c>
      <c r="G36" t="s">
        <v>21</v>
      </c>
      <c r="H36" t="s">
        <v>18</v>
      </c>
      <c r="I36">
        <v>2</v>
      </c>
      <c r="J36" t="s">
        <v>22</v>
      </c>
      <c r="K36" t="s">
        <v>17</v>
      </c>
      <c r="L36">
        <v>62</v>
      </c>
      <c r="M36" t="str">
        <f t="shared" si="0"/>
        <v>Old</v>
      </c>
      <c r="N36" t="s">
        <v>15</v>
      </c>
    </row>
    <row r="37" spans="1:14" x14ac:dyDescent="0.25">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25">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25">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25">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25">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25">
      <c r="A43">
        <v>14347</v>
      </c>
      <c r="B43" t="s">
        <v>37</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25">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25">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25">
      <c r="A47">
        <v>23986</v>
      </c>
      <c r="B47" t="s">
        <v>36</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25">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25">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25">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25">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37</v>
      </c>
      <c r="C53" t="s">
        <v>39</v>
      </c>
      <c r="D53" s="3">
        <v>80000</v>
      </c>
      <c r="E53">
        <v>0</v>
      </c>
      <c r="F53" t="s">
        <v>13</v>
      </c>
      <c r="G53" t="s">
        <v>21</v>
      </c>
      <c r="H53" t="s">
        <v>18</v>
      </c>
      <c r="I53">
        <v>4</v>
      </c>
      <c r="J53" t="s">
        <v>40</v>
      </c>
      <c r="K53" t="s">
        <v>24</v>
      </c>
      <c r="L53">
        <v>35</v>
      </c>
      <c r="M53" t="str">
        <f t="shared" si="0"/>
        <v>Middle Age</v>
      </c>
      <c r="N53" t="s">
        <v>18</v>
      </c>
    </row>
    <row r="54" spans="1:14" x14ac:dyDescent="0.25">
      <c r="A54">
        <v>12558</v>
      </c>
      <c r="B54" t="s">
        <v>36</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37</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25">
      <c r="A57">
        <v>28906</v>
      </c>
      <c r="B57" t="s">
        <v>36</v>
      </c>
      <c r="C57" t="s">
        <v>39</v>
      </c>
      <c r="D57" s="3">
        <v>80000</v>
      </c>
      <c r="E57">
        <v>4</v>
      </c>
      <c r="F57" t="s">
        <v>27</v>
      </c>
      <c r="G57" t="s">
        <v>21</v>
      </c>
      <c r="H57" t="s">
        <v>15</v>
      </c>
      <c r="I57">
        <v>2</v>
      </c>
      <c r="J57" t="s">
        <v>40</v>
      </c>
      <c r="K57" t="s">
        <v>17</v>
      </c>
      <c r="L57">
        <v>54</v>
      </c>
      <c r="M57" t="str">
        <f t="shared" si="0"/>
        <v>Middle Age</v>
      </c>
      <c r="N57" t="s">
        <v>18</v>
      </c>
    </row>
    <row r="58" spans="1:14" x14ac:dyDescent="0.25">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25">
      <c r="A59">
        <v>20567</v>
      </c>
      <c r="B59" t="s">
        <v>36</v>
      </c>
      <c r="C59" t="s">
        <v>39</v>
      </c>
      <c r="D59" s="3">
        <v>130000</v>
      </c>
      <c r="E59">
        <v>4</v>
      </c>
      <c r="F59" t="s">
        <v>19</v>
      </c>
      <c r="G59" t="s">
        <v>21</v>
      </c>
      <c r="H59" t="s">
        <v>18</v>
      </c>
      <c r="I59">
        <v>4</v>
      </c>
      <c r="J59" t="s">
        <v>23</v>
      </c>
      <c r="K59" t="s">
        <v>17</v>
      </c>
      <c r="L59">
        <v>61</v>
      </c>
      <c r="M59" t="str">
        <f t="shared" si="0"/>
        <v>Old</v>
      </c>
      <c r="N59" t="s">
        <v>15</v>
      </c>
    </row>
    <row r="60" spans="1:14" x14ac:dyDescent="0.25">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25">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25">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25">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25">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25">
      <c r="A65">
        <v>16185</v>
      </c>
      <c r="B65" t="s">
        <v>37</v>
      </c>
      <c r="C65" t="s">
        <v>39</v>
      </c>
      <c r="D65" s="3">
        <v>60000</v>
      </c>
      <c r="E65">
        <v>4</v>
      </c>
      <c r="F65" t="s">
        <v>13</v>
      </c>
      <c r="G65" t="s">
        <v>21</v>
      </c>
      <c r="H65" t="s">
        <v>15</v>
      </c>
      <c r="I65">
        <v>3</v>
      </c>
      <c r="J65" t="s">
        <v>40</v>
      </c>
      <c r="K65" t="s">
        <v>24</v>
      </c>
      <c r="L65">
        <v>41</v>
      </c>
      <c r="M65" t="str">
        <f t="shared" si="0"/>
        <v>Middle Age</v>
      </c>
      <c r="N65" t="s">
        <v>18</v>
      </c>
    </row>
    <row r="66" spans="1:14" x14ac:dyDescent="0.25">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25">
      <c r="A67">
        <v>29337</v>
      </c>
      <c r="B67" t="s">
        <v>37</v>
      </c>
      <c r="C67" t="s">
        <v>39</v>
      </c>
      <c r="D67" s="3">
        <v>30000</v>
      </c>
      <c r="E67">
        <v>2</v>
      </c>
      <c r="F67" t="s">
        <v>19</v>
      </c>
      <c r="G67" t="s">
        <v>20</v>
      </c>
      <c r="H67" t="s">
        <v>15</v>
      </c>
      <c r="I67">
        <v>2</v>
      </c>
      <c r="J67" t="s">
        <v>23</v>
      </c>
      <c r="K67" t="s">
        <v>24</v>
      </c>
      <c r="L67">
        <v>68</v>
      </c>
      <c r="M67" t="str">
        <f t="shared" ref="M67:M130" si="1">IF(L67&gt;54,"Old",IF(L67&gt;=31,"Middle Age",IF(L67&lt;31,"Adolescent","Invalid")))</f>
        <v>Old</v>
      </c>
      <c r="N67" t="s">
        <v>18</v>
      </c>
    </row>
    <row r="68" spans="1:14" x14ac:dyDescent="0.25">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25">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25">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25">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36</v>
      </c>
      <c r="C72" t="s">
        <v>39</v>
      </c>
      <c r="D72" s="3">
        <v>120000</v>
      </c>
      <c r="E72">
        <v>0</v>
      </c>
      <c r="F72" t="s">
        <v>29</v>
      </c>
      <c r="G72" t="s">
        <v>21</v>
      </c>
      <c r="H72" t="s">
        <v>15</v>
      </c>
      <c r="I72">
        <v>4</v>
      </c>
      <c r="J72" t="s">
        <v>40</v>
      </c>
      <c r="K72" t="s">
        <v>24</v>
      </c>
      <c r="L72">
        <v>36</v>
      </c>
      <c r="M72" t="str">
        <f t="shared" si="1"/>
        <v>Middle Age</v>
      </c>
      <c r="N72" t="s">
        <v>15</v>
      </c>
    </row>
    <row r="73" spans="1:14" x14ac:dyDescent="0.25">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25">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25">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25">
      <c r="A76">
        <v>14517</v>
      </c>
      <c r="B76" t="s">
        <v>36</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25">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36</v>
      </c>
      <c r="C79" t="s">
        <v>39</v>
      </c>
      <c r="D79" s="3">
        <v>80000</v>
      </c>
      <c r="E79">
        <v>0</v>
      </c>
      <c r="F79" t="s">
        <v>13</v>
      </c>
      <c r="G79" t="s">
        <v>21</v>
      </c>
      <c r="H79" t="s">
        <v>15</v>
      </c>
      <c r="I79">
        <v>2</v>
      </c>
      <c r="J79" t="s">
        <v>40</v>
      </c>
      <c r="K79" t="s">
        <v>24</v>
      </c>
      <c r="L79">
        <v>29</v>
      </c>
      <c r="M79" t="str">
        <f t="shared" si="1"/>
        <v>Adolescent</v>
      </c>
      <c r="N79" t="s">
        <v>15</v>
      </c>
    </row>
    <row r="80" spans="1:14" x14ac:dyDescent="0.25">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25">
      <c r="A81">
        <v>27745</v>
      </c>
      <c r="B81" t="s">
        <v>37</v>
      </c>
      <c r="C81" t="s">
        <v>39</v>
      </c>
      <c r="D81" s="3">
        <v>40000</v>
      </c>
      <c r="E81">
        <v>2</v>
      </c>
      <c r="F81" t="s">
        <v>13</v>
      </c>
      <c r="G81" t="s">
        <v>28</v>
      </c>
      <c r="H81" t="s">
        <v>15</v>
      </c>
      <c r="I81">
        <v>2</v>
      </c>
      <c r="J81" t="s">
        <v>23</v>
      </c>
      <c r="K81" t="s">
        <v>24</v>
      </c>
      <c r="L81">
        <v>63</v>
      </c>
      <c r="M81" t="str">
        <f t="shared" si="1"/>
        <v>Old</v>
      </c>
      <c r="N81" t="s">
        <v>15</v>
      </c>
    </row>
    <row r="82" spans="1:14" x14ac:dyDescent="0.25">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25">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25">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25">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25">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25">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25">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25">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25">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25">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25">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25">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25">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25">
      <c r="A96">
        <v>16487</v>
      </c>
      <c r="B96" t="s">
        <v>37</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37</v>
      </c>
      <c r="C97" t="s">
        <v>38</v>
      </c>
      <c r="D97" s="3">
        <v>90000</v>
      </c>
      <c r="E97">
        <v>5</v>
      </c>
      <c r="F97" t="s">
        <v>19</v>
      </c>
      <c r="G97" t="s">
        <v>21</v>
      </c>
      <c r="H97" t="s">
        <v>15</v>
      </c>
      <c r="I97">
        <v>2</v>
      </c>
      <c r="J97" t="s">
        <v>40</v>
      </c>
      <c r="K97" t="s">
        <v>17</v>
      </c>
      <c r="L97">
        <v>62</v>
      </c>
      <c r="M97" t="str">
        <f t="shared" si="1"/>
        <v>Old</v>
      </c>
      <c r="N97" t="s">
        <v>18</v>
      </c>
    </row>
    <row r="98" spans="1:14" x14ac:dyDescent="0.25">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25">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25">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25">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25">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25">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25">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25">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25">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25">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25">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25">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25">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25">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25">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25">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25">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25">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25">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25">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25">
      <c r="A120">
        <v>19914</v>
      </c>
      <c r="B120" t="s">
        <v>36</v>
      </c>
      <c r="C120" t="s">
        <v>39</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36</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25">
      <c r="A124">
        <v>12344</v>
      </c>
      <c r="B124" t="s">
        <v>37</v>
      </c>
      <c r="C124" t="s">
        <v>38</v>
      </c>
      <c r="D124" s="3">
        <v>80000</v>
      </c>
      <c r="E124">
        <v>0</v>
      </c>
      <c r="F124" t="s">
        <v>13</v>
      </c>
      <c r="G124" t="s">
        <v>21</v>
      </c>
      <c r="H124" t="s">
        <v>18</v>
      </c>
      <c r="I124">
        <v>3</v>
      </c>
      <c r="J124" t="s">
        <v>40</v>
      </c>
      <c r="K124" t="s">
        <v>24</v>
      </c>
      <c r="L124">
        <v>31</v>
      </c>
      <c r="M124" t="str">
        <f t="shared" si="1"/>
        <v>Middle Age</v>
      </c>
      <c r="N124" t="s">
        <v>18</v>
      </c>
    </row>
    <row r="125" spans="1:14" x14ac:dyDescent="0.25">
      <c r="A125">
        <v>23627</v>
      </c>
      <c r="B125" t="s">
        <v>37</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25">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25">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25">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25">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25">
      <c r="A131">
        <v>26818</v>
      </c>
      <c r="B131" t="s">
        <v>37</v>
      </c>
      <c r="C131" t="s">
        <v>39</v>
      </c>
      <c r="D131" s="3">
        <v>10000</v>
      </c>
      <c r="E131">
        <v>3</v>
      </c>
      <c r="F131" t="s">
        <v>27</v>
      </c>
      <c r="G131" t="s">
        <v>25</v>
      </c>
      <c r="H131" t="s">
        <v>15</v>
      </c>
      <c r="I131">
        <v>1</v>
      </c>
      <c r="J131" t="s">
        <v>16</v>
      </c>
      <c r="K131" t="s">
        <v>17</v>
      </c>
      <c r="L131">
        <v>39</v>
      </c>
      <c r="M131" t="str">
        <f t="shared" ref="M131:M194" si="2">IF(L131&gt;54,"Old",IF(L131&gt;=31,"Middle Age",IF(L131&lt;31,"Adolescent","Invalid")))</f>
        <v>Middle Age</v>
      </c>
      <c r="N131" t="s">
        <v>15</v>
      </c>
    </row>
    <row r="132" spans="1:14" x14ac:dyDescent="0.25">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25">
      <c r="A133">
        <v>14192</v>
      </c>
      <c r="B133" t="s">
        <v>36</v>
      </c>
      <c r="C133" t="s">
        <v>39</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25">
      <c r="A135">
        <v>26796</v>
      </c>
      <c r="B135" t="s">
        <v>37</v>
      </c>
      <c r="C135" t="s">
        <v>39</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25">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25">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25">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25">
      <c r="A140">
        <v>24273</v>
      </c>
      <c r="B140" t="s">
        <v>36</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37</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25">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25">
      <c r="A145">
        <v>16614</v>
      </c>
      <c r="B145" t="s">
        <v>36</v>
      </c>
      <c r="C145" t="s">
        <v>38</v>
      </c>
      <c r="D145" s="3">
        <v>80000</v>
      </c>
      <c r="E145">
        <v>0</v>
      </c>
      <c r="F145" t="s">
        <v>13</v>
      </c>
      <c r="G145" t="s">
        <v>21</v>
      </c>
      <c r="H145" t="s">
        <v>15</v>
      </c>
      <c r="I145">
        <v>3</v>
      </c>
      <c r="J145" t="s">
        <v>40</v>
      </c>
      <c r="K145" t="s">
        <v>24</v>
      </c>
      <c r="L145">
        <v>32</v>
      </c>
      <c r="M145" t="str">
        <f t="shared" si="2"/>
        <v>Middle Age</v>
      </c>
      <c r="N145" t="s">
        <v>18</v>
      </c>
    </row>
    <row r="146" spans="1:14" x14ac:dyDescent="0.25">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25">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25">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25">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25">
      <c r="A150">
        <v>19675</v>
      </c>
      <c r="B150" t="s">
        <v>36</v>
      </c>
      <c r="C150" t="s">
        <v>39</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25">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25">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25">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25">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25">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25">
      <c r="A158">
        <v>12664</v>
      </c>
      <c r="B158" t="s">
        <v>36</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25">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25">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25">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25">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25">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25">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25">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25">
      <c r="A169">
        <v>14233</v>
      </c>
      <c r="B169" t="s">
        <v>37</v>
      </c>
      <c r="C169" t="s">
        <v>39</v>
      </c>
      <c r="D169" s="3">
        <v>100000</v>
      </c>
      <c r="E169">
        <v>0</v>
      </c>
      <c r="F169" t="s">
        <v>27</v>
      </c>
      <c r="G169" t="s">
        <v>28</v>
      </c>
      <c r="H169" t="s">
        <v>15</v>
      </c>
      <c r="I169">
        <v>3</v>
      </c>
      <c r="J169" t="s">
        <v>40</v>
      </c>
      <c r="K169" t="s">
        <v>24</v>
      </c>
      <c r="L169">
        <v>35</v>
      </c>
      <c r="M169" t="str">
        <f t="shared" si="2"/>
        <v>Middle Age</v>
      </c>
      <c r="N169" t="s">
        <v>18</v>
      </c>
    </row>
    <row r="170" spans="1:14" x14ac:dyDescent="0.25">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25">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25">
      <c r="A172">
        <v>17203</v>
      </c>
      <c r="B172" t="s">
        <v>36</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36</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25">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25">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25">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25">
      <c r="A180">
        <v>14191</v>
      </c>
      <c r="B180" t="s">
        <v>36</v>
      </c>
      <c r="C180" t="s">
        <v>39</v>
      </c>
      <c r="D180" s="3">
        <v>160000</v>
      </c>
      <c r="E180">
        <v>4</v>
      </c>
      <c r="F180" t="s">
        <v>19</v>
      </c>
      <c r="G180" t="s">
        <v>21</v>
      </c>
      <c r="H180" t="s">
        <v>18</v>
      </c>
      <c r="I180">
        <v>2</v>
      </c>
      <c r="J180" t="s">
        <v>40</v>
      </c>
      <c r="K180" t="s">
        <v>17</v>
      </c>
      <c r="L180">
        <v>55</v>
      </c>
      <c r="M180" t="str">
        <f t="shared" si="2"/>
        <v>Old</v>
      </c>
      <c r="N180" t="s">
        <v>15</v>
      </c>
    </row>
    <row r="181" spans="1:14" x14ac:dyDescent="0.25">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25">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25">
      <c r="A183">
        <v>22170</v>
      </c>
      <c r="B183" t="s">
        <v>36</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25">
      <c r="A185">
        <v>15265</v>
      </c>
      <c r="B185" t="s">
        <v>37</v>
      </c>
      <c r="C185" t="s">
        <v>39</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36</v>
      </c>
      <c r="C186" t="s">
        <v>38</v>
      </c>
      <c r="D186" s="3">
        <v>130000</v>
      </c>
      <c r="E186">
        <v>4</v>
      </c>
      <c r="F186" t="s">
        <v>27</v>
      </c>
      <c r="G186" t="s">
        <v>28</v>
      </c>
      <c r="H186" t="s">
        <v>18</v>
      </c>
      <c r="I186">
        <v>4</v>
      </c>
      <c r="J186" t="s">
        <v>40</v>
      </c>
      <c r="K186" t="s">
        <v>17</v>
      </c>
      <c r="L186">
        <v>58</v>
      </c>
      <c r="M186" t="str">
        <f t="shared" si="2"/>
        <v>Old</v>
      </c>
      <c r="N186" t="s">
        <v>18</v>
      </c>
    </row>
    <row r="187" spans="1:14" x14ac:dyDescent="0.25">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25">
      <c r="A188">
        <v>11047</v>
      </c>
      <c r="B188" t="s">
        <v>36</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37</v>
      </c>
      <c r="C189" t="s">
        <v>39</v>
      </c>
      <c r="D189" s="3">
        <v>80000</v>
      </c>
      <c r="E189">
        <v>5</v>
      </c>
      <c r="F189" t="s">
        <v>19</v>
      </c>
      <c r="G189" t="s">
        <v>21</v>
      </c>
      <c r="H189" t="s">
        <v>18</v>
      </c>
      <c r="I189">
        <v>2</v>
      </c>
      <c r="J189" t="s">
        <v>40</v>
      </c>
      <c r="K189" t="s">
        <v>17</v>
      </c>
      <c r="L189">
        <v>59</v>
      </c>
      <c r="M189" t="str">
        <f t="shared" si="2"/>
        <v>Old</v>
      </c>
      <c r="N189" t="s">
        <v>18</v>
      </c>
    </row>
    <row r="190" spans="1:14" x14ac:dyDescent="0.25">
      <c r="A190">
        <v>20606</v>
      </c>
      <c r="B190" t="s">
        <v>36</v>
      </c>
      <c r="C190" t="s">
        <v>38</v>
      </c>
      <c r="D190" s="3">
        <v>70000</v>
      </c>
      <c r="E190">
        <v>0</v>
      </c>
      <c r="F190" t="s">
        <v>13</v>
      </c>
      <c r="G190" t="s">
        <v>21</v>
      </c>
      <c r="H190" t="s">
        <v>15</v>
      </c>
      <c r="I190">
        <v>4</v>
      </c>
      <c r="J190" t="s">
        <v>40</v>
      </c>
      <c r="K190" t="s">
        <v>24</v>
      </c>
      <c r="L190">
        <v>32</v>
      </c>
      <c r="M190" t="str">
        <f t="shared" si="2"/>
        <v>Middle Age</v>
      </c>
      <c r="N190" t="s">
        <v>15</v>
      </c>
    </row>
    <row r="191" spans="1:14" x14ac:dyDescent="0.25">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25">
      <c r="A192">
        <v>16489</v>
      </c>
      <c r="B192" t="s">
        <v>36</v>
      </c>
      <c r="C192" t="s">
        <v>39</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25">
      <c r="A194">
        <v>15682</v>
      </c>
      <c r="B194" t="s">
        <v>37</v>
      </c>
      <c r="C194" t="s">
        <v>38</v>
      </c>
      <c r="D194" s="3">
        <v>80000</v>
      </c>
      <c r="E194">
        <v>5</v>
      </c>
      <c r="F194" t="s">
        <v>13</v>
      </c>
      <c r="G194" t="s">
        <v>28</v>
      </c>
      <c r="H194" t="s">
        <v>15</v>
      </c>
      <c r="I194">
        <v>2</v>
      </c>
      <c r="J194" t="s">
        <v>40</v>
      </c>
      <c r="K194" t="s">
        <v>17</v>
      </c>
      <c r="L194">
        <v>62</v>
      </c>
      <c r="M194" t="str">
        <f t="shared" si="2"/>
        <v>Old</v>
      </c>
      <c r="N194" t="s">
        <v>18</v>
      </c>
    </row>
    <row r="195" spans="1:14" x14ac:dyDescent="0.25">
      <c r="A195">
        <v>26032</v>
      </c>
      <c r="B195" t="s">
        <v>36</v>
      </c>
      <c r="C195" t="s">
        <v>38</v>
      </c>
      <c r="D195" s="3">
        <v>70000</v>
      </c>
      <c r="E195">
        <v>5</v>
      </c>
      <c r="F195" t="s">
        <v>13</v>
      </c>
      <c r="G195" t="s">
        <v>21</v>
      </c>
      <c r="H195" t="s">
        <v>15</v>
      </c>
      <c r="I195">
        <v>4</v>
      </c>
      <c r="J195" t="s">
        <v>40</v>
      </c>
      <c r="K195" t="s">
        <v>24</v>
      </c>
      <c r="L195">
        <v>41</v>
      </c>
      <c r="M195" t="str">
        <f t="shared" ref="M195:M258" si="3">IF(L195&gt;54,"Old",IF(L195&gt;=31,"Middle Age",IF(L195&lt;31,"Adolescent","Invalid")))</f>
        <v>Middle Age</v>
      </c>
      <c r="N195" t="s">
        <v>18</v>
      </c>
    </row>
    <row r="196" spans="1:14" x14ac:dyDescent="0.25">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25">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25">
      <c r="A199">
        <v>11147</v>
      </c>
      <c r="B199" t="s">
        <v>36</v>
      </c>
      <c r="C199" t="s">
        <v>39</v>
      </c>
      <c r="D199" s="3">
        <v>60000</v>
      </c>
      <c r="E199">
        <v>2</v>
      </c>
      <c r="F199" t="s">
        <v>31</v>
      </c>
      <c r="G199" t="s">
        <v>28</v>
      </c>
      <c r="H199" t="s">
        <v>15</v>
      </c>
      <c r="I199">
        <v>1</v>
      </c>
      <c r="J199" t="s">
        <v>16</v>
      </c>
      <c r="K199" t="s">
        <v>24</v>
      </c>
      <c r="L199">
        <v>67</v>
      </c>
      <c r="M199" t="str">
        <f t="shared" si="3"/>
        <v>Old</v>
      </c>
      <c r="N199" t="s">
        <v>15</v>
      </c>
    </row>
    <row r="200" spans="1:14" x14ac:dyDescent="0.25">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25">
      <c r="A201">
        <v>11453</v>
      </c>
      <c r="B201" t="s">
        <v>37</v>
      </c>
      <c r="C201" t="s">
        <v>39</v>
      </c>
      <c r="D201" s="3">
        <v>80000</v>
      </c>
      <c r="E201">
        <v>0</v>
      </c>
      <c r="F201" t="s">
        <v>13</v>
      </c>
      <c r="G201" t="s">
        <v>21</v>
      </c>
      <c r="H201" t="s">
        <v>18</v>
      </c>
      <c r="I201">
        <v>3</v>
      </c>
      <c r="J201" t="s">
        <v>40</v>
      </c>
      <c r="K201" t="s">
        <v>24</v>
      </c>
      <c r="L201">
        <v>33</v>
      </c>
      <c r="M201" t="str">
        <f t="shared" si="3"/>
        <v>Middle Age</v>
      </c>
      <c r="N201" t="s">
        <v>15</v>
      </c>
    </row>
    <row r="202" spans="1:14" x14ac:dyDescent="0.25">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25">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25">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25">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25">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25">
      <c r="A208">
        <v>11415</v>
      </c>
      <c r="B208" t="s">
        <v>37</v>
      </c>
      <c r="C208" t="s">
        <v>39</v>
      </c>
      <c r="D208" s="3">
        <v>90000</v>
      </c>
      <c r="E208">
        <v>5</v>
      </c>
      <c r="F208" t="s">
        <v>19</v>
      </c>
      <c r="G208" t="s">
        <v>21</v>
      </c>
      <c r="H208" t="s">
        <v>18</v>
      </c>
      <c r="I208">
        <v>2</v>
      </c>
      <c r="J208" t="s">
        <v>40</v>
      </c>
      <c r="K208" t="s">
        <v>17</v>
      </c>
      <c r="L208">
        <v>62</v>
      </c>
      <c r="M208" t="str">
        <f t="shared" si="3"/>
        <v>Old</v>
      </c>
      <c r="N208" t="s">
        <v>18</v>
      </c>
    </row>
    <row r="209" spans="1:14" x14ac:dyDescent="0.25">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25">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25">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25">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25">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37</v>
      </c>
      <c r="C215" t="s">
        <v>39</v>
      </c>
      <c r="D215" s="3">
        <v>70000</v>
      </c>
      <c r="E215">
        <v>0</v>
      </c>
      <c r="F215" t="s">
        <v>13</v>
      </c>
      <c r="G215" t="s">
        <v>21</v>
      </c>
      <c r="H215" t="s">
        <v>18</v>
      </c>
      <c r="I215">
        <v>4</v>
      </c>
      <c r="J215" t="s">
        <v>40</v>
      </c>
      <c r="K215" t="s">
        <v>24</v>
      </c>
      <c r="L215">
        <v>31</v>
      </c>
      <c r="M215" t="str">
        <f t="shared" si="3"/>
        <v>Middle Age</v>
      </c>
      <c r="N215" t="s">
        <v>15</v>
      </c>
    </row>
    <row r="216" spans="1:14" x14ac:dyDescent="0.25">
      <c r="A216">
        <v>25553</v>
      </c>
      <c r="B216" t="s">
        <v>36</v>
      </c>
      <c r="C216" t="s">
        <v>39</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25">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25">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25">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25">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25">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25">
      <c r="A225">
        <v>18711</v>
      </c>
      <c r="B225" t="s">
        <v>37</v>
      </c>
      <c r="C225" t="s">
        <v>38</v>
      </c>
      <c r="D225" s="3">
        <v>70000</v>
      </c>
      <c r="E225">
        <v>5</v>
      </c>
      <c r="F225" t="s">
        <v>13</v>
      </c>
      <c r="G225" t="s">
        <v>21</v>
      </c>
      <c r="H225" t="s">
        <v>15</v>
      </c>
      <c r="I225">
        <v>4</v>
      </c>
      <c r="J225" t="s">
        <v>40</v>
      </c>
      <c r="K225" t="s">
        <v>24</v>
      </c>
      <c r="L225">
        <v>39</v>
      </c>
      <c r="M225" t="str">
        <f t="shared" si="3"/>
        <v>Middle Age</v>
      </c>
      <c r="N225" t="s">
        <v>18</v>
      </c>
    </row>
    <row r="226" spans="1:14" x14ac:dyDescent="0.25">
      <c r="A226">
        <v>19650</v>
      </c>
      <c r="B226" t="s">
        <v>36</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25">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25">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25">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25">
      <c r="A231">
        <v>28915</v>
      </c>
      <c r="B231" t="s">
        <v>37</v>
      </c>
      <c r="C231" t="s">
        <v>39</v>
      </c>
      <c r="D231" s="3">
        <v>80000</v>
      </c>
      <c r="E231">
        <v>5</v>
      </c>
      <c r="F231" t="s">
        <v>27</v>
      </c>
      <c r="G231" t="s">
        <v>28</v>
      </c>
      <c r="H231" t="s">
        <v>15</v>
      </c>
      <c r="I231">
        <v>3</v>
      </c>
      <c r="J231" t="s">
        <v>40</v>
      </c>
      <c r="K231" t="s">
        <v>17</v>
      </c>
      <c r="L231">
        <v>57</v>
      </c>
      <c r="M231" t="str">
        <f t="shared" si="3"/>
        <v>Old</v>
      </c>
      <c r="N231" t="s">
        <v>18</v>
      </c>
    </row>
    <row r="232" spans="1:14" x14ac:dyDescent="0.25">
      <c r="A232">
        <v>22830</v>
      </c>
      <c r="B232" t="s">
        <v>36</v>
      </c>
      <c r="C232" t="s">
        <v>39</v>
      </c>
      <c r="D232" s="3">
        <v>120000</v>
      </c>
      <c r="E232">
        <v>4</v>
      </c>
      <c r="F232" t="s">
        <v>19</v>
      </c>
      <c r="G232" t="s">
        <v>28</v>
      </c>
      <c r="H232" t="s">
        <v>15</v>
      </c>
      <c r="I232">
        <v>3</v>
      </c>
      <c r="J232" t="s">
        <v>40</v>
      </c>
      <c r="K232" t="s">
        <v>17</v>
      </c>
      <c r="L232">
        <v>56</v>
      </c>
      <c r="M232" t="str">
        <f t="shared" si="3"/>
        <v>Old</v>
      </c>
      <c r="N232" t="s">
        <v>18</v>
      </c>
    </row>
    <row r="233" spans="1:14" x14ac:dyDescent="0.25">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25">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25">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37</v>
      </c>
      <c r="C236" t="s">
        <v>39</v>
      </c>
      <c r="D236" s="3">
        <v>90000</v>
      </c>
      <c r="E236">
        <v>0</v>
      </c>
      <c r="F236" t="s">
        <v>13</v>
      </c>
      <c r="G236" t="s">
        <v>21</v>
      </c>
      <c r="H236" t="s">
        <v>18</v>
      </c>
      <c r="I236">
        <v>4</v>
      </c>
      <c r="J236" t="s">
        <v>40</v>
      </c>
      <c r="K236" t="s">
        <v>24</v>
      </c>
      <c r="L236">
        <v>35</v>
      </c>
      <c r="M236" t="str">
        <f t="shared" si="3"/>
        <v>Middle Age</v>
      </c>
      <c r="N236" t="s">
        <v>15</v>
      </c>
    </row>
    <row r="237" spans="1:14" x14ac:dyDescent="0.25">
      <c r="A237">
        <v>11340</v>
      </c>
      <c r="B237" t="s">
        <v>36</v>
      </c>
      <c r="C237" t="s">
        <v>38</v>
      </c>
      <c r="D237" s="3">
        <v>10000</v>
      </c>
      <c r="E237">
        <v>1</v>
      </c>
      <c r="F237" t="s">
        <v>31</v>
      </c>
      <c r="G237" t="s">
        <v>20</v>
      </c>
      <c r="H237" t="s">
        <v>15</v>
      </c>
      <c r="I237">
        <v>0</v>
      </c>
      <c r="J237" t="s">
        <v>16</v>
      </c>
      <c r="K237" t="s">
        <v>17</v>
      </c>
      <c r="L237">
        <v>70</v>
      </c>
      <c r="M237" t="str">
        <f t="shared" si="3"/>
        <v>Old</v>
      </c>
      <c r="N237" t="s">
        <v>15</v>
      </c>
    </row>
    <row r="238" spans="1:14" x14ac:dyDescent="0.25">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25">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25">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25">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25">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25">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36</v>
      </c>
      <c r="C246" t="s">
        <v>38</v>
      </c>
      <c r="D246" s="3">
        <v>120000</v>
      </c>
      <c r="E246">
        <v>3</v>
      </c>
      <c r="F246" t="s">
        <v>13</v>
      </c>
      <c r="G246" t="s">
        <v>28</v>
      </c>
      <c r="H246" t="s">
        <v>18</v>
      </c>
      <c r="I246">
        <v>2</v>
      </c>
      <c r="J246" t="s">
        <v>40</v>
      </c>
      <c r="K246" t="s">
        <v>17</v>
      </c>
      <c r="L246">
        <v>52</v>
      </c>
      <c r="M246" t="str">
        <f t="shared" si="3"/>
        <v>Middle Age</v>
      </c>
      <c r="N246" t="s">
        <v>15</v>
      </c>
    </row>
    <row r="247" spans="1:14" x14ac:dyDescent="0.25">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25">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25">
      <c r="A249">
        <v>21568</v>
      </c>
      <c r="B249" t="s">
        <v>36</v>
      </c>
      <c r="C249" t="s">
        <v>38</v>
      </c>
      <c r="D249" s="3">
        <v>100000</v>
      </c>
      <c r="E249">
        <v>0</v>
      </c>
      <c r="F249" t="s">
        <v>27</v>
      </c>
      <c r="G249" t="s">
        <v>28</v>
      </c>
      <c r="H249" t="s">
        <v>15</v>
      </c>
      <c r="I249">
        <v>4</v>
      </c>
      <c r="J249" t="s">
        <v>40</v>
      </c>
      <c r="K249" t="s">
        <v>24</v>
      </c>
      <c r="L249">
        <v>34</v>
      </c>
      <c r="M249" t="str">
        <f t="shared" si="3"/>
        <v>Middle Age</v>
      </c>
      <c r="N249" t="s">
        <v>15</v>
      </c>
    </row>
    <row r="250" spans="1:14" x14ac:dyDescent="0.25">
      <c r="A250">
        <v>13981</v>
      </c>
      <c r="B250" t="s">
        <v>36</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25">
      <c r="A252">
        <v>22931</v>
      </c>
      <c r="B252" t="s">
        <v>36</v>
      </c>
      <c r="C252" t="s">
        <v>39</v>
      </c>
      <c r="D252" s="3">
        <v>100000</v>
      </c>
      <c r="E252">
        <v>5</v>
      </c>
      <c r="F252" t="s">
        <v>31</v>
      </c>
      <c r="G252" t="s">
        <v>28</v>
      </c>
      <c r="H252" t="s">
        <v>18</v>
      </c>
      <c r="I252">
        <v>1</v>
      </c>
      <c r="J252" t="s">
        <v>26</v>
      </c>
      <c r="K252" t="s">
        <v>24</v>
      </c>
      <c r="L252">
        <v>78</v>
      </c>
      <c r="M252" t="str">
        <f t="shared" si="3"/>
        <v>Old</v>
      </c>
      <c r="N252" t="s">
        <v>15</v>
      </c>
    </row>
    <row r="253" spans="1:14" x14ac:dyDescent="0.25">
      <c r="A253">
        <v>18172</v>
      </c>
      <c r="B253" t="s">
        <v>36</v>
      </c>
      <c r="C253" t="s">
        <v>39</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25">
      <c r="A255">
        <v>20598</v>
      </c>
      <c r="B255" t="s">
        <v>36</v>
      </c>
      <c r="C255" t="s">
        <v>39</v>
      </c>
      <c r="D255" s="3">
        <v>100000</v>
      </c>
      <c r="E255">
        <v>3</v>
      </c>
      <c r="F255" t="s">
        <v>29</v>
      </c>
      <c r="G255" t="s">
        <v>21</v>
      </c>
      <c r="H255" t="s">
        <v>15</v>
      </c>
      <c r="I255">
        <v>0</v>
      </c>
      <c r="J255" t="s">
        <v>40</v>
      </c>
      <c r="K255" t="s">
        <v>17</v>
      </c>
      <c r="L255">
        <v>59</v>
      </c>
      <c r="M255" t="str">
        <f t="shared" si="3"/>
        <v>Old</v>
      </c>
      <c r="N255" t="s">
        <v>15</v>
      </c>
    </row>
    <row r="256" spans="1:14" x14ac:dyDescent="0.25">
      <c r="A256">
        <v>21375</v>
      </c>
      <c r="B256" t="s">
        <v>37</v>
      </c>
      <c r="C256" t="s">
        <v>39</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25">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25">
      <c r="A259">
        <v>14164</v>
      </c>
      <c r="B259" t="s">
        <v>37</v>
      </c>
      <c r="C259" t="s">
        <v>38</v>
      </c>
      <c r="D259" s="3">
        <v>50000</v>
      </c>
      <c r="E259">
        <v>0</v>
      </c>
      <c r="F259" t="s">
        <v>31</v>
      </c>
      <c r="G259" t="s">
        <v>14</v>
      </c>
      <c r="H259" t="s">
        <v>15</v>
      </c>
      <c r="I259">
        <v>0</v>
      </c>
      <c r="J259" t="s">
        <v>16</v>
      </c>
      <c r="K259" t="s">
        <v>17</v>
      </c>
      <c r="L259">
        <v>36</v>
      </c>
      <c r="M259" t="str">
        <f t="shared" ref="M259:M322" si="4">IF(L259&gt;54,"Old",IF(L259&gt;=31,"Middle Age",IF(L259&lt;31,"Adolescent","Invalid")))</f>
        <v>Middle Age</v>
      </c>
      <c r="N259" t="s">
        <v>15</v>
      </c>
    </row>
    <row r="260" spans="1:14" x14ac:dyDescent="0.25">
      <c r="A260">
        <v>14193</v>
      </c>
      <c r="B260" t="s">
        <v>37</v>
      </c>
      <c r="C260" t="s">
        <v>38</v>
      </c>
      <c r="D260" s="3">
        <v>100000</v>
      </c>
      <c r="E260">
        <v>3</v>
      </c>
      <c r="F260" t="s">
        <v>19</v>
      </c>
      <c r="G260" t="s">
        <v>28</v>
      </c>
      <c r="H260" t="s">
        <v>15</v>
      </c>
      <c r="I260">
        <v>4</v>
      </c>
      <c r="J260" t="s">
        <v>40</v>
      </c>
      <c r="K260" t="s">
        <v>17</v>
      </c>
      <c r="L260">
        <v>56</v>
      </c>
      <c r="M260" t="str">
        <f t="shared" si="4"/>
        <v>Old</v>
      </c>
      <c r="N260" t="s">
        <v>18</v>
      </c>
    </row>
    <row r="261" spans="1:14" x14ac:dyDescent="0.25">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25">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25">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25">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25">
      <c r="A265">
        <v>23419</v>
      </c>
      <c r="B265" t="s">
        <v>37</v>
      </c>
      <c r="C265" t="s">
        <v>38</v>
      </c>
      <c r="D265" s="3">
        <v>70000</v>
      </c>
      <c r="E265">
        <v>5</v>
      </c>
      <c r="F265" t="s">
        <v>13</v>
      </c>
      <c r="G265" t="s">
        <v>21</v>
      </c>
      <c r="H265" t="s">
        <v>15</v>
      </c>
      <c r="I265">
        <v>3</v>
      </c>
      <c r="J265" t="s">
        <v>40</v>
      </c>
      <c r="K265" t="s">
        <v>24</v>
      </c>
      <c r="L265">
        <v>39</v>
      </c>
      <c r="M265" t="str">
        <f t="shared" si="4"/>
        <v>Middle Age</v>
      </c>
      <c r="N265" t="s">
        <v>18</v>
      </c>
    </row>
    <row r="266" spans="1:14" x14ac:dyDescent="0.25">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25">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25">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25">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25">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25">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25">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25">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25">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25">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25">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25">
      <c r="A280">
        <v>20625</v>
      </c>
      <c r="B280" t="s">
        <v>36</v>
      </c>
      <c r="C280" t="s">
        <v>39</v>
      </c>
      <c r="D280" s="3">
        <v>100000</v>
      </c>
      <c r="E280">
        <v>0</v>
      </c>
      <c r="F280" t="s">
        <v>27</v>
      </c>
      <c r="G280" t="s">
        <v>28</v>
      </c>
      <c r="H280" t="s">
        <v>15</v>
      </c>
      <c r="I280">
        <v>3</v>
      </c>
      <c r="J280" t="s">
        <v>40</v>
      </c>
      <c r="K280" t="s">
        <v>24</v>
      </c>
      <c r="L280">
        <v>35</v>
      </c>
      <c r="M280" t="str">
        <f t="shared" si="4"/>
        <v>Middle Age</v>
      </c>
      <c r="N280" t="s">
        <v>15</v>
      </c>
    </row>
    <row r="281" spans="1:14" x14ac:dyDescent="0.25">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25">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25">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25">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25">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25">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25">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25">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25">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25">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25">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25">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25">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25">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25">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25">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25">
      <c r="A297">
        <v>21557</v>
      </c>
      <c r="B297" t="s">
        <v>37</v>
      </c>
      <c r="C297" t="s">
        <v>38</v>
      </c>
      <c r="D297" s="3">
        <v>110000</v>
      </c>
      <c r="E297">
        <v>0</v>
      </c>
      <c r="F297" t="s">
        <v>19</v>
      </c>
      <c r="G297" t="s">
        <v>28</v>
      </c>
      <c r="H297" t="s">
        <v>15</v>
      </c>
      <c r="I297">
        <v>3</v>
      </c>
      <c r="J297" t="s">
        <v>40</v>
      </c>
      <c r="K297" t="s">
        <v>24</v>
      </c>
      <c r="L297">
        <v>32</v>
      </c>
      <c r="M297" t="str">
        <f t="shared" si="4"/>
        <v>Middle Age</v>
      </c>
      <c r="N297" t="s">
        <v>15</v>
      </c>
    </row>
    <row r="298" spans="1:14" x14ac:dyDescent="0.25">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25">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25">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25">
      <c r="A301">
        <v>13136</v>
      </c>
      <c r="B301" t="s">
        <v>36</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37</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37</v>
      </c>
      <c r="C304" t="s">
        <v>39</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25">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25">
      <c r="A307">
        <v>25923</v>
      </c>
      <c r="B307" t="s">
        <v>37</v>
      </c>
      <c r="C307" t="s">
        <v>39</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25">
      <c r="A309">
        <v>20974</v>
      </c>
      <c r="B309" t="s">
        <v>36</v>
      </c>
      <c r="C309" t="s">
        <v>39</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25">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25">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25">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25">
      <c r="A314">
        <v>28102</v>
      </c>
      <c r="B314" t="s">
        <v>36</v>
      </c>
      <c r="C314" t="s">
        <v>39</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25">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25">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25">
      <c r="A318">
        <v>17352</v>
      </c>
      <c r="B318" t="s">
        <v>36</v>
      </c>
      <c r="C318" t="s">
        <v>39</v>
      </c>
      <c r="D318" s="3">
        <v>50000</v>
      </c>
      <c r="E318">
        <v>2</v>
      </c>
      <c r="F318" t="s">
        <v>31</v>
      </c>
      <c r="G318" t="s">
        <v>28</v>
      </c>
      <c r="H318" t="s">
        <v>15</v>
      </c>
      <c r="I318">
        <v>1</v>
      </c>
      <c r="J318" t="s">
        <v>23</v>
      </c>
      <c r="K318" t="s">
        <v>24</v>
      </c>
      <c r="L318">
        <v>64</v>
      </c>
      <c r="M318" t="str">
        <f t="shared" si="4"/>
        <v>Old</v>
      </c>
      <c r="N318" t="s">
        <v>15</v>
      </c>
    </row>
    <row r="319" spans="1:14" x14ac:dyDescent="0.25">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25">
      <c r="A320">
        <v>19066</v>
      </c>
      <c r="B320" t="s">
        <v>36</v>
      </c>
      <c r="C320" t="s">
        <v>39</v>
      </c>
      <c r="D320" s="3">
        <v>130000</v>
      </c>
      <c r="E320">
        <v>4</v>
      </c>
      <c r="F320" t="s">
        <v>19</v>
      </c>
      <c r="G320" t="s">
        <v>21</v>
      </c>
      <c r="H320" t="s">
        <v>18</v>
      </c>
      <c r="I320">
        <v>3</v>
      </c>
      <c r="J320" t="s">
        <v>40</v>
      </c>
      <c r="K320" t="s">
        <v>17</v>
      </c>
      <c r="L320">
        <v>54</v>
      </c>
      <c r="M320" t="str">
        <f t="shared" si="4"/>
        <v>Middle Age</v>
      </c>
      <c r="N320" t="s">
        <v>18</v>
      </c>
    </row>
    <row r="321" spans="1:14" x14ac:dyDescent="0.25">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25">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25">
      <c r="A323">
        <v>16675</v>
      </c>
      <c r="B323" t="s">
        <v>37</v>
      </c>
      <c r="C323" t="s">
        <v>38</v>
      </c>
      <c r="D323" s="3">
        <v>160000</v>
      </c>
      <c r="E323">
        <v>0</v>
      </c>
      <c r="F323" t="s">
        <v>31</v>
      </c>
      <c r="G323" t="s">
        <v>28</v>
      </c>
      <c r="H323" t="s">
        <v>18</v>
      </c>
      <c r="I323">
        <v>3</v>
      </c>
      <c r="J323" t="s">
        <v>16</v>
      </c>
      <c r="K323" t="s">
        <v>24</v>
      </c>
      <c r="L323">
        <v>47</v>
      </c>
      <c r="M323" t="str">
        <f t="shared" ref="M323:M386" si="5">IF(L323&gt;54,"Old",IF(L323&gt;=31,"Middle Age",IF(L323&lt;31,"Adolescent","Invalid")))</f>
        <v>Middle Age</v>
      </c>
      <c r="N323" t="s">
        <v>15</v>
      </c>
    </row>
    <row r="324" spans="1:14" x14ac:dyDescent="0.25">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25">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25">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25">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25">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25">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25">
      <c r="A331">
        <v>12663</v>
      </c>
      <c r="B331" t="s">
        <v>36</v>
      </c>
      <c r="C331" t="s">
        <v>38</v>
      </c>
      <c r="D331" s="3">
        <v>90000</v>
      </c>
      <c r="E331">
        <v>5</v>
      </c>
      <c r="F331" t="s">
        <v>29</v>
      </c>
      <c r="G331" t="s">
        <v>14</v>
      </c>
      <c r="H331" t="s">
        <v>15</v>
      </c>
      <c r="I331">
        <v>2</v>
      </c>
      <c r="J331" t="s">
        <v>40</v>
      </c>
      <c r="K331" t="s">
        <v>17</v>
      </c>
      <c r="L331">
        <v>59</v>
      </c>
      <c r="M331" t="str">
        <f t="shared" si="5"/>
        <v>Old</v>
      </c>
      <c r="N331" t="s">
        <v>18</v>
      </c>
    </row>
    <row r="332" spans="1:14" x14ac:dyDescent="0.25">
      <c r="A332">
        <v>24898</v>
      </c>
      <c r="B332" t="s">
        <v>37</v>
      </c>
      <c r="C332" t="s">
        <v>38</v>
      </c>
      <c r="D332" s="3">
        <v>80000</v>
      </c>
      <c r="E332">
        <v>0</v>
      </c>
      <c r="F332" t="s">
        <v>13</v>
      </c>
      <c r="G332" t="s">
        <v>21</v>
      </c>
      <c r="H332" t="s">
        <v>15</v>
      </c>
      <c r="I332">
        <v>3</v>
      </c>
      <c r="J332" t="s">
        <v>40</v>
      </c>
      <c r="K332" t="s">
        <v>24</v>
      </c>
      <c r="L332">
        <v>32</v>
      </c>
      <c r="M332" t="str">
        <f t="shared" si="5"/>
        <v>Middle Age</v>
      </c>
      <c r="N332" t="s">
        <v>18</v>
      </c>
    </row>
    <row r="333" spans="1:14" x14ac:dyDescent="0.25">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25">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25">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25">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25">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25">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25">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25">
      <c r="A341">
        <v>14554</v>
      </c>
      <c r="B341" t="s">
        <v>36</v>
      </c>
      <c r="C341" t="s">
        <v>39</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25">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25">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25">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25">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25">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25">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25">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25">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25">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25">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25">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25">
      <c r="A357">
        <v>17238</v>
      </c>
      <c r="B357" t="s">
        <v>37</v>
      </c>
      <c r="C357" t="s">
        <v>39</v>
      </c>
      <c r="D357" s="3">
        <v>80000</v>
      </c>
      <c r="E357">
        <v>0</v>
      </c>
      <c r="F357" t="s">
        <v>13</v>
      </c>
      <c r="G357" t="s">
        <v>21</v>
      </c>
      <c r="H357" t="s">
        <v>15</v>
      </c>
      <c r="I357">
        <v>3</v>
      </c>
      <c r="J357" t="s">
        <v>40</v>
      </c>
      <c r="K357" t="s">
        <v>24</v>
      </c>
      <c r="L357">
        <v>32</v>
      </c>
      <c r="M357" t="str">
        <f t="shared" si="5"/>
        <v>Middle Age</v>
      </c>
      <c r="N357" t="s">
        <v>18</v>
      </c>
    </row>
    <row r="358" spans="1:14" x14ac:dyDescent="0.25">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25">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25">
      <c r="A360">
        <v>12332</v>
      </c>
      <c r="B360" t="s">
        <v>36</v>
      </c>
      <c r="C360" t="s">
        <v>39</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36</v>
      </c>
      <c r="C361" t="s">
        <v>39</v>
      </c>
      <c r="D361" s="3">
        <v>80000</v>
      </c>
      <c r="E361">
        <v>0</v>
      </c>
      <c r="F361" t="s">
        <v>13</v>
      </c>
      <c r="G361" t="s">
        <v>21</v>
      </c>
      <c r="H361" t="s">
        <v>15</v>
      </c>
      <c r="I361">
        <v>3</v>
      </c>
      <c r="J361" t="s">
        <v>40</v>
      </c>
      <c r="K361" t="s">
        <v>24</v>
      </c>
      <c r="L361">
        <v>30</v>
      </c>
      <c r="M361" t="str">
        <f t="shared" si="5"/>
        <v>Adolescent</v>
      </c>
      <c r="N361" t="s">
        <v>18</v>
      </c>
    </row>
    <row r="362" spans="1:14" x14ac:dyDescent="0.25">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25">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25">
      <c r="A365">
        <v>23571</v>
      </c>
      <c r="B365" t="s">
        <v>36</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25">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25">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25">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25">
      <c r="A370">
        <v>25918</v>
      </c>
      <c r="B370" t="s">
        <v>37</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25">
      <c r="A372">
        <v>17324</v>
      </c>
      <c r="B372" t="s">
        <v>36</v>
      </c>
      <c r="C372" t="s">
        <v>38</v>
      </c>
      <c r="D372" s="3">
        <v>100000</v>
      </c>
      <c r="E372">
        <v>4</v>
      </c>
      <c r="F372" t="s">
        <v>13</v>
      </c>
      <c r="G372" t="s">
        <v>21</v>
      </c>
      <c r="H372" t="s">
        <v>15</v>
      </c>
      <c r="I372">
        <v>1</v>
      </c>
      <c r="J372" t="s">
        <v>40</v>
      </c>
      <c r="K372" t="s">
        <v>24</v>
      </c>
      <c r="L372">
        <v>46</v>
      </c>
      <c r="M372" t="str">
        <f t="shared" si="5"/>
        <v>Middle Age</v>
      </c>
      <c r="N372" t="s">
        <v>18</v>
      </c>
    </row>
    <row r="373" spans="1:14" x14ac:dyDescent="0.25">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25">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25">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25">
      <c r="A377">
        <v>15628</v>
      </c>
      <c r="B377" t="s">
        <v>36</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36</v>
      </c>
      <c r="C378" t="s">
        <v>39</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25">
      <c r="A380">
        <v>20417</v>
      </c>
      <c r="B380" t="s">
        <v>36</v>
      </c>
      <c r="C380" t="s">
        <v>39</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25">
      <c r="A382">
        <v>13620</v>
      </c>
      <c r="B382" t="s">
        <v>37</v>
      </c>
      <c r="C382" t="s">
        <v>39</v>
      </c>
      <c r="D382" s="3">
        <v>70000</v>
      </c>
      <c r="E382">
        <v>0</v>
      </c>
      <c r="F382" t="s">
        <v>13</v>
      </c>
      <c r="G382" t="s">
        <v>21</v>
      </c>
      <c r="H382" t="s">
        <v>18</v>
      </c>
      <c r="I382">
        <v>3</v>
      </c>
      <c r="J382" t="s">
        <v>40</v>
      </c>
      <c r="K382" t="s">
        <v>24</v>
      </c>
      <c r="L382">
        <v>30</v>
      </c>
      <c r="M382" t="str">
        <f t="shared" si="5"/>
        <v>Adolescent</v>
      </c>
      <c r="N382" t="s">
        <v>15</v>
      </c>
    </row>
    <row r="383" spans="1:14" x14ac:dyDescent="0.25">
      <c r="A383">
        <v>22974</v>
      </c>
      <c r="B383" t="s">
        <v>36</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36</v>
      </c>
      <c r="C384" t="s">
        <v>39</v>
      </c>
      <c r="D384" s="3">
        <v>80000</v>
      </c>
      <c r="E384">
        <v>4</v>
      </c>
      <c r="F384" t="s">
        <v>19</v>
      </c>
      <c r="G384" t="s">
        <v>21</v>
      </c>
      <c r="H384" t="s">
        <v>15</v>
      </c>
      <c r="I384">
        <v>2</v>
      </c>
      <c r="J384" t="s">
        <v>40</v>
      </c>
      <c r="K384" t="s">
        <v>17</v>
      </c>
      <c r="L384">
        <v>53</v>
      </c>
      <c r="M384" t="str">
        <f t="shared" si="5"/>
        <v>Middle Age</v>
      </c>
      <c r="N384" t="s">
        <v>18</v>
      </c>
    </row>
    <row r="385" spans="1:14" x14ac:dyDescent="0.25">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25">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37</v>
      </c>
      <c r="C387" t="s">
        <v>39</v>
      </c>
      <c r="D387" s="3">
        <v>30000</v>
      </c>
      <c r="E387">
        <v>3</v>
      </c>
      <c r="F387" t="s">
        <v>19</v>
      </c>
      <c r="G387" t="s">
        <v>20</v>
      </c>
      <c r="H387" t="s">
        <v>15</v>
      </c>
      <c r="I387">
        <v>0</v>
      </c>
      <c r="J387" t="s">
        <v>16</v>
      </c>
      <c r="K387" t="s">
        <v>17</v>
      </c>
      <c r="L387">
        <v>43</v>
      </c>
      <c r="M387" t="str">
        <f t="shared" ref="M387:M450" si="6">IF(L387&gt;54,"Old",IF(L387&gt;=31,"Middle Age",IF(L387&lt;31,"Adolescent","Invalid")))</f>
        <v>Middle Age</v>
      </c>
      <c r="N387" t="s">
        <v>18</v>
      </c>
    </row>
    <row r="388" spans="1:14" x14ac:dyDescent="0.25">
      <c r="A388">
        <v>28957</v>
      </c>
      <c r="B388" t="s">
        <v>37</v>
      </c>
      <c r="C388" t="s">
        <v>38</v>
      </c>
      <c r="D388" s="3">
        <v>120000</v>
      </c>
      <c r="E388">
        <v>0</v>
      </c>
      <c r="F388" t="s">
        <v>29</v>
      </c>
      <c r="G388" t="s">
        <v>21</v>
      </c>
      <c r="H388" t="s">
        <v>15</v>
      </c>
      <c r="I388">
        <v>4</v>
      </c>
      <c r="J388" t="s">
        <v>40</v>
      </c>
      <c r="K388" t="s">
        <v>24</v>
      </c>
      <c r="L388">
        <v>34</v>
      </c>
      <c r="M388" t="str">
        <f t="shared" si="6"/>
        <v>Middle Age</v>
      </c>
      <c r="N388" t="s">
        <v>15</v>
      </c>
    </row>
    <row r="389" spans="1:14" x14ac:dyDescent="0.25">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25">
      <c r="A390">
        <v>12568</v>
      </c>
      <c r="B390" t="s">
        <v>36</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25">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25">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25">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25">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25">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25">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25">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25">
      <c r="A399">
        <v>21365</v>
      </c>
      <c r="B399" t="s">
        <v>36</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25">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25">
      <c r="A402">
        <v>25792</v>
      </c>
      <c r="B402" t="s">
        <v>37</v>
      </c>
      <c r="C402" t="s">
        <v>38</v>
      </c>
      <c r="D402" s="3">
        <v>110000</v>
      </c>
      <c r="E402">
        <v>3</v>
      </c>
      <c r="F402" t="s">
        <v>13</v>
      </c>
      <c r="G402" t="s">
        <v>28</v>
      </c>
      <c r="H402" t="s">
        <v>15</v>
      </c>
      <c r="I402">
        <v>4</v>
      </c>
      <c r="J402" t="s">
        <v>40</v>
      </c>
      <c r="K402" t="s">
        <v>17</v>
      </c>
      <c r="L402">
        <v>53</v>
      </c>
      <c r="M402" t="str">
        <f t="shared" si="6"/>
        <v>Middle Age</v>
      </c>
      <c r="N402" t="s">
        <v>18</v>
      </c>
    </row>
    <row r="403" spans="1:14" x14ac:dyDescent="0.25">
      <c r="A403">
        <v>11555</v>
      </c>
      <c r="B403" t="s">
        <v>36</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25">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25">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25">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25">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25">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25">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25">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25">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25">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25">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25">
      <c r="A415">
        <v>25266</v>
      </c>
      <c r="B415" t="s">
        <v>37</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25">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25">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25">
      <c r="A419">
        <v>11139</v>
      </c>
      <c r="B419" t="s">
        <v>37</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25">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25">
      <c r="A422">
        <v>18153</v>
      </c>
      <c r="B422" t="s">
        <v>36</v>
      </c>
      <c r="C422" t="s">
        <v>38</v>
      </c>
      <c r="D422" s="3">
        <v>100000</v>
      </c>
      <c r="E422">
        <v>2</v>
      </c>
      <c r="F422" t="s">
        <v>13</v>
      </c>
      <c r="G422" t="s">
        <v>28</v>
      </c>
      <c r="H422" t="s">
        <v>15</v>
      </c>
      <c r="I422">
        <v>4</v>
      </c>
      <c r="J422" t="s">
        <v>40</v>
      </c>
      <c r="K422" t="s">
        <v>17</v>
      </c>
      <c r="L422">
        <v>59</v>
      </c>
      <c r="M422" t="str">
        <f t="shared" si="6"/>
        <v>Old</v>
      </c>
      <c r="N422" t="s">
        <v>18</v>
      </c>
    </row>
    <row r="423" spans="1:14" x14ac:dyDescent="0.25">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25">
      <c r="A424">
        <v>24901</v>
      </c>
      <c r="B424" t="s">
        <v>37</v>
      </c>
      <c r="C424" t="s">
        <v>39</v>
      </c>
      <c r="D424" s="3">
        <v>110000</v>
      </c>
      <c r="E424">
        <v>0</v>
      </c>
      <c r="F424" t="s">
        <v>19</v>
      </c>
      <c r="G424" t="s">
        <v>28</v>
      </c>
      <c r="H424" t="s">
        <v>18</v>
      </c>
      <c r="I424">
        <v>3</v>
      </c>
      <c r="J424" t="s">
        <v>40</v>
      </c>
      <c r="K424" t="s">
        <v>24</v>
      </c>
      <c r="L424">
        <v>32</v>
      </c>
      <c r="M424" t="str">
        <f t="shared" si="6"/>
        <v>Middle Age</v>
      </c>
      <c r="N424" t="s">
        <v>15</v>
      </c>
    </row>
    <row r="425" spans="1:14" x14ac:dyDescent="0.25">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25">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25">
      <c r="A427">
        <v>15822</v>
      </c>
      <c r="B427" t="s">
        <v>36</v>
      </c>
      <c r="C427" t="s">
        <v>39</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25">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25">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25">
      <c r="A432">
        <v>15019</v>
      </c>
      <c r="B432" t="s">
        <v>37</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36</v>
      </c>
      <c r="C434" t="s">
        <v>38</v>
      </c>
      <c r="D434" s="3">
        <v>110000</v>
      </c>
      <c r="E434">
        <v>0</v>
      </c>
      <c r="F434" t="s">
        <v>27</v>
      </c>
      <c r="G434" t="s">
        <v>28</v>
      </c>
      <c r="H434" t="s">
        <v>15</v>
      </c>
      <c r="I434">
        <v>3</v>
      </c>
      <c r="J434" t="s">
        <v>40</v>
      </c>
      <c r="K434" t="s">
        <v>24</v>
      </c>
      <c r="L434">
        <v>34</v>
      </c>
      <c r="M434" t="str">
        <f t="shared" si="6"/>
        <v>Middle Age</v>
      </c>
      <c r="N434" t="s">
        <v>15</v>
      </c>
    </row>
    <row r="435" spans="1:14" x14ac:dyDescent="0.25">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25">
      <c r="A437">
        <v>29447</v>
      </c>
      <c r="B437" t="s">
        <v>37</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25">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25">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25">
      <c r="A442">
        <v>21561</v>
      </c>
      <c r="B442" t="s">
        <v>37</v>
      </c>
      <c r="C442" t="s">
        <v>39</v>
      </c>
      <c r="D442" s="3">
        <v>90000</v>
      </c>
      <c r="E442">
        <v>0</v>
      </c>
      <c r="F442" t="s">
        <v>13</v>
      </c>
      <c r="G442" t="s">
        <v>21</v>
      </c>
      <c r="H442" t="s">
        <v>18</v>
      </c>
      <c r="I442">
        <v>3</v>
      </c>
      <c r="J442" t="s">
        <v>40</v>
      </c>
      <c r="K442" t="s">
        <v>24</v>
      </c>
      <c r="L442">
        <v>34</v>
      </c>
      <c r="M442" t="str">
        <f t="shared" si="6"/>
        <v>Middle Age</v>
      </c>
      <c r="N442" t="s">
        <v>15</v>
      </c>
    </row>
    <row r="443" spans="1:14" x14ac:dyDescent="0.25">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25">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25">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25">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25">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25">
      <c r="A448">
        <v>14278</v>
      </c>
      <c r="B448" t="s">
        <v>36</v>
      </c>
      <c r="C448" t="s">
        <v>38</v>
      </c>
      <c r="D448" s="3">
        <v>130000</v>
      </c>
      <c r="E448">
        <v>0</v>
      </c>
      <c r="F448" t="s">
        <v>31</v>
      </c>
      <c r="G448" t="s">
        <v>28</v>
      </c>
      <c r="H448" t="s">
        <v>15</v>
      </c>
      <c r="I448">
        <v>1</v>
      </c>
      <c r="J448" t="s">
        <v>40</v>
      </c>
      <c r="K448" t="s">
        <v>24</v>
      </c>
      <c r="L448">
        <v>48</v>
      </c>
      <c r="M448" t="str">
        <f t="shared" si="6"/>
        <v>Middle Age</v>
      </c>
      <c r="N448" t="s">
        <v>18</v>
      </c>
    </row>
    <row r="449" spans="1:14" x14ac:dyDescent="0.25">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25">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25">
      <c r="A451">
        <v>12497</v>
      </c>
      <c r="B451" t="s">
        <v>36</v>
      </c>
      <c r="C451" t="s">
        <v>38</v>
      </c>
      <c r="D451" s="3">
        <v>40000</v>
      </c>
      <c r="E451">
        <v>1</v>
      </c>
      <c r="F451" t="s">
        <v>13</v>
      </c>
      <c r="G451" t="s">
        <v>14</v>
      </c>
      <c r="H451" t="s">
        <v>15</v>
      </c>
      <c r="I451">
        <v>0</v>
      </c>
      <c r="J451" t="s">
        <v>16</v>
      </c>
      <c r="K451" t="s">
        <v>17</v>
      </c>
      <c r="L451">
        <v>42</v>
      </c>
      <c r="M451" t="str">
        <f t="shared" ref="M451:M514" si="7">IF(L451&gt;54,"Old",IF(L451&gt;=31,"Middle Age",IF(L451&lt;31,"Adolescent","Invalid")))</f>
        <v>Middle Age</v>
      </c>
      <c r="N451" t="s">
        <v>18</v>
      </c>
    </row>
    <row r="452" spans="1:14" x14ac:dyDescent="0.25">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25">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25">
      <c r="A454">
        <v>20277</v>
      </c>
      <c r="B454" t="s">
        <v>36</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25">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25">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25">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25">
      <c r="A459">
        <v>12236</v>
      </c>
      <c r="B459" t="s">
        <v>36</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36</v>
      </c>
      <c r="C460" t="s">
        <v>39</v>
      </c>
      <c r="D460" s="3">
        <v>120000</v>
      </c>
      <c r="E460">
        <v>0</v>
      </c>
      <c r="F460" t="s">
        <v>29</v>
      </c>
      <c r="G460" t="s">
        <v>21</v>
      </c>
      <c r="H460" t="s">
        <v>15</v>
      </c>
      <c r="I460">
        <v>4</v>
      </c>
      <c r="J460" t="s">
        <v>40</v>
      </c>
      <c r="K460" t="s">
        <v>24</v>
      </c>
      <c r="L460">
        <v>32</v>
      </c>
      <c r="M460" t="str">
        <f t="shared" si="7"/>
        <v>Middle Age</v>
      </c>
      <c r="N460" t="s">
        <v>15</v>
      </c>
    </row>
    <row r="461" spans="1:14" x14ac:dyDescent="0.25">
      <c r="A461">
        <v>21554</v>
      </c>
      <c r="B461" t="s">
        <v>37</v>
      </c>
      <c r="C461" t="s">
        <v>38</v>
      </c>
      <c r="D461" s="3">
        <v>80000</v>
      </c>
      <c r="E461">
        <v>0</v>
      </c>
      <c r="F461" t="s">
        <v>13</v>
      </c>
      <c r="G461" t="s">
        <v>21</v>
      </c>
      <c r="H461" t="s">
        <v>18</v>
      </c>
      <c r="I461">
        <v>3</v>
      </c>
      <c r="J461" t="s">
        <v>40</v>
      </c>
      <c r="K461" t="s">
        <v>24</v>
      </c>
      <c r="L461">
        <v>33</v>
      </c>
      <c r="M461" t="str">
        <f t="shared" si="7"/>
        <v>Middle Age</v>
      </c>
      <c r="N461" t="s">
        <v>18</v>
      </c>
    </row>
    <row r="462" spans="1:14" x14ac:dyDescent="0.25">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25">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25">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25">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25">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25">
      <c r="A467">
        <v>11149</v>
      </c>
      <c r="B467" t="s">
        <v>36</v>
      </c>
      <c r="C467" t="s">
        <v>39</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25">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25">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25">
      <c r="A471">
        <v>20147</v>
      </c>
      <c r="B471" t="s">
        <v>36</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25">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25">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25">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25">
      <c r="A477">
        <v>19748</v>
      </c>
      <c r="B477" t="s">
        <v>36</v>
      </c>
      <c r="C477" t="s">
        <v>39</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25">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25">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25">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25">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25">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25">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25">
      <c r="A485">
        <v>15450</v>
      </c>
      <c r="B485" t="s">
        <v>36</v>
      </c>
      <c r="C485" t="s">
        <v>39</v>
      </c>
      <c r="D485" s="3">
        <v>10000</v>
      </c>
      <c r="E485">
        <v>1</v>
      </c>
      <c r="F485" t="s">
        <v>31</v>
      </c>
      <c r="G485" t="s">
        <v>20</v>
      </c>
      <c r="H485" t="s">
        <v>15</v>
      </c>
      <c r="I485">
        <v>0</v>
      </c>
      <c r="J485" t="s">
        <v>16</v>
      </c>
      <c r="K485" t="s">
        <v>17</v>
      </c>
      <c r="L485">
        <v>70</v>
      </c>
      <c r="M485" t="str">
        <f t="shared" si="7"/>
        <v>Old</v>
      </c>
      <c r="N485" t="s">
        <v>18</v>
      </c>
    </row>
    <row r="486" spans="1:14" x14ac:dyDescent="0.25">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25">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25">
      <c r="A488">
        <v>26415</v>
      </c>
      <c r="B488" t="s">
        <v>36</v>
      </c>
      <c r="C488" t="s">
        <v>38</v>
      </c>
      <c r="D488" s="3">
        <v>90000</v>
      </c>
      <c r="E488">
        <v>4</v>
      </c>
      <c r="F488" t="s">
        <v>29</v>
      </c>
      <c r="G488" t="s">
        <v>14</v>
      </c>
      <c r="H488" t="s">
        <v>15</v>
      </c>
      <c r="I488">
        <v>4</v>
      </c>
      <c r="J488" t="s">
        <v>40</v>
      </c>
      <c r="K488" t="s">
        <v>17</v>
      </c>
      <c r="L488">
        <v>58</v>
      </c>
      <c r="M488" t="str">
        <f t="shared" si="7"/>
        <v>Old</v>
      </c>
      <c r="N488" t="s">
        <v>18</v>
      </c>
    </row>
    <row r="489" spans="1:14" x14ac:dyDescent="0.25">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25">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25">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25">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25">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25">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25">
      <c r="A495">
        <v>23707</v>
      </c>
      <c r="B495" t="s">
        <v>37</v>
      </c>
      <c r="C495" t="s">
        <v>39</v>
      </c>
      <c r="D495" s="3">
        <v>70000</v>
      </c>
      <c r="E495">
        <v>5</v>
      </c>
      <c r="F495" t="s">
        <v>13</v>
      </c>
      <c r="G495" t="s">
        <v>28</v>
      </c>
      <c r="H495" t="s">
        <v>15</v>
      </c>
      <c r="I495">
        <v>3</v>
      </c>
      <c r="J495" t="s">
        <v>40</v>
      </c>
      <c r="K495" t="s">
        <v>32</v>
      </c>
      <c r="L495">
        <v>60</v>
      </c>
      <c r="M495" t="str">
        <f t="shared" si="7"/>
        <v>Old</v>
      </c>
      <c r="N495" t="s">
        <v>15</v>
      </c>
    </row>
    <row r="496" spans="1:14" x14ac:dyDescent="0.25">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25">
      <c r="A497">
        <v>24981</v>
      </c>
      <c r="B497" t="s">
        <v>36</v>
      </c>
      <c r="C497" t="s">
        <v>39</v>
      </c>
      <c r="D497" s="3">
        <v>60000</v>
      </c>
      <c r="E497">
        <v>2</v>
      </c>
      <c r="F497" t="s">
        <v>19</v>
      </c>
      <c r="G497" t="s">
        <v>21</v>
      </c>
      <c r="H497" t="s">
        <v>15</v>
      </c>
      <c r="I497">
        <v>2</v>
      </c>
      <c r="J497" t="s">
        <v>40</v>
      </c>
      <c r="K497" t="s">
        <v>32</v>
      </c>
      <c r="L497">
        <v>56</v>
      </c>
      <c r="M497" t="str">
        <f t="shared" si="7"/>
        <v>Old</v>
      </c>
      <c r="N497" t="s">
        <v>18</v>
      </c>
    </row>
    <row r="498" spans="1:14" x14ac:dyDescent="0.25">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25">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25">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25">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25">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25">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25">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25">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25">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25">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25">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25">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25">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25">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25">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25">
      <c r="A513">
        <v>12207</v>
      </c>
      <c r="B513" t="s">
        <v>37</v>
      </c>
      <c r="C513" t="s">
        <v>39</v>
      </c>
      <c r="D513" s="3">
        <v>80000</v>
      </c>
      <c r="E513">
        <v>4</v>
      </c>
      <c r="F513" t="s">
        <v>13</v>
      </c>
      <c r="G513" t="s">
        <v>28</v>
      </c>
      <c r="H513" t="s">
        <v>15</v>
      </c>
      <c r="I513">
        <v>0</v>
      </c>
      <c r="J513" t="s">
        <v>23</v>
      </c>
      <c r="K513" t="s">
        <v>32</v>
      </c>
      <c r="L513">
        <v>66</v>
      </c>
      <c r="M513" t="str">
        <f t="shared" si="7"/>
        <v>Old</v>
      </c>
      <c r="N513" t="s">
        <v>15</v>
      </c>
    </row>
    <row r="514" spans="1:14" x14ac:dyDescent="0.25">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25">
      <c r="A515">
        <v>13353</v>
      </c>
      <c r="B515" t="s">
        <v>37</v>
      </c>
      <c r="C515" t="s">
        <v>38</v>
      </c>
      <c r="D515" s="3">
        <v>60000</v>
      </c>
      <c r="E515">
        <v>4</v>
      </c>
      <c r="F515" t="s">
        <v>31</v>
      </c>
      <c r="G515" t="s">
        <v>28</v>
      </c>
      <c r="H515" t="s">
        <v>15</v>
      </c>
      <c r="I515">
        <v>2</v>
      </c>
      <c r="J515" t="s">
        <v>40</v>
      </c>
      <c r="K515" t="s">
        <v>32</v>
      </c>
      <c r="L515">
        <v>61</v>
      </c>
      <c r="M515" t="str">
        <f t="shared" ref="M515:M578" si="8">IF(L515&gt;54,"Old",IF(L515&gt;=31,"Middle Age",IF(L515&lt;31,"Adolescent","Invalid")))</f>
        <v>Old</v>
      </c>
      <c r="N515" t="s">
        <v>15</v>
      </c>
    </row>
    <row r="516" spans="1:14" x14ac:dyDescent="0.25">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25">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25">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25">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25">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25">
      <c r="A521">
        <v>15740</v>
      </c>
      <c r="B521" t="s">
        <v>36</v>
      </c>
      <c r="C521" t="s">
        <v>39</v>
      </c>
      <c r="D521" s="3">
        <v>80000</v>
      </c>
      <c r="E521">
        <v>5</v>
      </c>
      <c r="F521" t="s">
        <v>13</v>
      </c>
      <c r="G521" t="s">
        <v>28</v>
      </c>
      <c r="H521" t="s">
        <v>15</v>
      </c>
      <c r="I521">
        <v>2</v>
      </c>
      <c r="J521" t="s">
        <v>26</v>
      </c>
      <c r="K521" t="s">
        <v>32</v>
      </c>
      <c r="L521">
        <v>64</v>
      </c>
      <c r="M521" t="str">
        <f t="shared" si="8"/>
        <v>Old</v>
      </c>
      <c r="N521" t="s">
        <v>18</v>
      </c>
    </row>
    <row r="522" spans="1:14" x14ac:dyDescent="0.25">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25">
      <c r="A523">
        <v>18976</v>
      </c>
      <c r="B523" t="s">
        <v>37</v>
      </c>
      <c r="C523" t="s">
        <v>39</v>
      </c>
      <c r="D523" s="3">
        <v>40000</v>
      </c>
      <c r="E523">
        <v>4</v>
      </c>
      <c r="F523" t="s">
        <v>27</v>
      </c>
      <c r="G523" t="s">
        <v>21</v>
      </c>
      <c r="H523" t="s">
        <v>15</v>
      </c>
      <c r="I523">
        <v>2</v>
      </c>
      <c r="J523" t="s">
        <v>40</v>
      </c>
      <c r="K523" t="s">
        <v>32</v>
      </c>
      <c r="L523">
        <v>62</v>
      </c>
      <c r="M523" t="str">
        <f t="shared" si="8"/>
        <v>Old</v>
      </c>
      <c r="N523" t="s">
        <v>15</v>
      </c>
    </row>
    <row r="524" spans="1:14" x14ac:dyDescent="0.25">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25">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25">
      <c r="A526">
        <v>17471</v>
      </c>
      <c r="B526" t="s">
        <v>37</v>
      </c>
      <c r="C526" t="s">
        <v>38</v>
      </c>
      <c r="D526" s="3">
        <v>80000</v>
      </c>
      <c r="E526">
        <v>4</v>
      </c>
      <c r="F526" t="s">
        <v>31</v>
      </c>
      <c r="G526" t="s">
        <v>28</v>
      </c>
      <c r="H526" t="s">
        <v>15</v>
      </c>
      <c r="I526">
        <v>2</v>
      </c>
      <c r="J526" t="s">
        <v>23</v>
      </c>
      <c r="K526" t="s">
        <v>32</v>
      </c>
      <c r="L526">
        <v>67</v>
      </c>
      <c r="M526" t="str">
        <f t="shared" si="8"/>
        <v>Old</v>
      </c>
      <c r="N526" t="s">
        <v>18</v>
      </c>
    </row>
    <row r="527" spans="1:14" x14ac:dyDescent="0.25">
      <c r="A527">
        <v>16791</v>
      </c>
      <c r="B527" t="s">
        <v>37</v>
      </c>
      <c r="C527" t="s">
        <v>39</v>
      </c>
      <c r="D527" s="3">
        <v>60000</v>
      </c>
      <c r="E527">
        <v>5</v>
      </c>
      <c r="F527" t="s">
        <v>13</v>
      </c>
      <c r="G527" t="s">
        <v>28</v>
      </c>
      <c r="H527" t="s">
        <v>15</v>
      </c>
      <c r="I527">
        <v>3</v>
      </c>
      <c r="J527" t="s">
        <v>40</v>
      </c>
      <c r="K527" t="s">
        <v>32</v>
      </c>
      <c r="L527">
        <v>59</v>
      </c>
      <c r="M527" t="str">
        <f t="shared" si="8"/>
        <v>Old</v>
      </c>
      <c r="N527" t="s">
        <v>15</v>
      </c>
    </row>
    <row r="528" spans="1:14" x14ac:dyDescent="0.25">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25">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25">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25">
      <c r="A531">
        <v>13233</v>
      </c>
      <c r="B531" t="s">
        <v>36</v>
      </c>
      <c r="C531" t="s">
        <v>39</v>
      </c>
      <c r="D531" s="3">
        <v>60000</v>
      </c>
      <c r="E531">
        <v>2</v>
      </c>
      <c r="F531" t="s">
        <v>19</v>
      </c>
      <c r="G531" t="s">
        <v>21</v>
      </c>
      <c r="H531" t="s">
        <v>15</v>
      </c>
      <c r="I531">
        <v>1</v>
      </c>
      <c r="J531" t="s">
        <v>40</v>
      </c>
      <c r="K531" t="s">
        <v>32</v>
      </c>
      <c r="L531">
        <v>57</v>
      </c>
      <c r="M531" t="str">
        <f t="shared" si="8"/>
        <v>Old</v>
      </c>
      <c r="N531" t="s">
        <v>15</v>
      </c>
    </row>
    <row r="532" spans="1:14" x14ac:dyDescent="0.25">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25">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25">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25">
      <c r="A535">
        <v>24941</v>
      </c>
      <c r="B535" t="s">
        <v>36</v>
      </c>
      <c r="C535" t="s">
        <v>39</v>
      </c>
      <c r="D535" s="3">
        <v>60000</v>
      </c>
      <c r="E535">
        <v>3</v>
      </c>
      <c r="F535" t="s">
        <v>13</v>
      </c>
      <c r="G535" t="s">
        <v>28</v>
      </c>
      <c r="H535" t="s">
        <v>15</v>
      </c>
      <c r="I535">
        <v>2</v>
      </c>
      <c r="J535" t="s">
        <v>40</v>
      </c>
      <c r="K535" t="s">
        <v>32</v>
      </c>
      <c r="L535">
        <v>66</v>
      </c>
      <c r="M535" t="str">
        <f t="shared" si="8"/>
        <v>Old</v>
      </c>
      <c r="N535" t="s">
        <v>18</v>
      </c>
    </row>
    <row r="536" spans="1:14" x14ac:dyDescent="0.25">
      <c r="A536">
        <v>24637</v>
      </c>
      <c r="B536" t="s">
        <v>36</v>
      </c>
      <c r="C536" t="s">
        <v>39</v>
      </c>
      <c r="D536" s="3">
        <v>40000</v>
      </c>
      <c r="E536">
        <v>4</v>
      </c>
      <c r="F536" t="s">
        <v>27</v>
      </c>
      <c r="G536" t="s">
        <v>21</v>
      </c>
      <c r="H536" t="s">
        <v>15</v>
      </c>
      <c r="I536">
        <v>2</v>
      </c>
      <c r="J536" t="s">
        <v>40</v>
      </c>
      <c r="K536" t="s">
        <v>32</v>
      </c>
      <c r="L536">
        <v>64</v>
      </c>
      <c r="M536" t="str">
        <f t="shared" si="8"/>
        <v>Old</v>
      </c>
      <c r="N536" t="s">
        <v>18</v>
      </c>
    </row>
    <row r="537" spans="1:14" x14ac:dyDescent="0.25">
      <c r="A537">
        <v>23893</v>
      </c>
      <c r="B537" t="s">
        <v>36</v>
      </c>
      <c r="C537" t="s">
        <v>39</v>
      </c>
      <c r="D537" s="3">
        <v>50000</v>
      </c>
      <c r="E537">
        <v>3</v>
      </c>
      <c r="F537" t="s">
        <v>13</v>
      </c>
      <c r="G537" t="s">
        <v>14</v>
      </c>
      <c r="H537" t="s">
        <v>15</v>
      </c>
      <c r="I537">
        <v>3</v>
      </c>
      <c r="J537" t="s">
        <v>40</v>
      </c>
      <c r="K537" t="s">
        <v>32</v>
      </c>
      <c r="L537">
        <v>41</v>
      </c>
      <c r="M537" t="str">
        <f t="shared" si="8"/>
        <v>Middle Age</v>
      </c>
      <c r="N537" t="s">
        <v>18</v>
      </c>
    </row>
    <row r="538" spans="1:14" x14ac:dyDescent="0.25">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25">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25">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25">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25">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25">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25">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25">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25">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25">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25">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25">
      <c r="A549">
        <v>19884</v>
      </c>
      <c r="B549" t="s">
        <v>36</v>
      </c>
      <c r="C549" t="s">
        <v>39</v>
      </c>
      <c r="D549" s="3">
        <v>60000</v>
      </c>
      <c r="E549">
        <v>2</v>
      </c>
      <c r="F549" t="s">
        <v>27</v>
      </c>
      <c r="G549" t="s">
        <v>21</v>
      </c>
      <c r="H549" t="s">
        <v>15</v>
      </c>
      <c r="I549">
        <v>2</v>
      </c>
      <c r="J549" t="s">
        <v>22</v>
      </c>
      <c r="K549" t="s">
        <v>32</v>
      </c>
      <c r="L549">
        <v>55</v>
      </c>
      <c r="M549" t="str">
        <f t="shared" si="8"/>
        <v>Old</v>
      </c>
      <c r="N549" t="s">
        <v>15</v>
      </c>
    </row>
    <row r="550" spans="1:14" x14ac:dyDescent="0.25">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25">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25">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25">
      <c r="A553">
        <v>27393</v>
      </c>
      <c r="B553" t="s">
        <v>36</v>
      </c>
      <c r="C553" t="s">
        <v>38</v>
      </c>
      <c r="D553" s="3">
        <v>50000</v>
      </c>
      <c r="E553">
        <v>4</v>
      </c>
      <c r="F553" t="s">
        <v>13</v>
      </c>
      <c r="G553" t="s">
        <v>28</v>
      </c>
      <c r="H553" t="s">
        <v>15</v>
      </c>
      <c r="I553">
        <v>2</v>
      </c>
      <c r="J553" t="s">
        <v>40</v>
      </c>
      <c r="K553" t="s">
        <v>32</v>
      </c>
      <c r="L553">
        <v>63</v>
      </c>
      <c r="M553" t="str">
        <f t="shared" si="8"/>
        <v>Old</v>
      </c>
      <c r="N553" t="s">
        <v>18</v>
      </c>
    </row>
    <row r="554" spans="1:14" x14ac:dyDescent="0.25">
      <c r="A554">
        <v>14417</v>
      </c>
      <c r="B554" t="s">
        <v>37</v>
      </c>
      <c r="C554" t="s">
        <v>39</v>
      </c>
      <c r="D554" s="3">
        <v>60000</v>
      </c>
      <c r="E554">
        <v>3</v>
      </c>
      <c r="F554" t="s">
        <v>27</v>
      </c>
      <c r="G554" t="s">
        <v>21</v>
      </c>
      <c r="H554" t="s">
        <v>15</v>
      </c>
      <c r="I554">
        <v>2</v>
      </c>
      <c r="J554" t="s">
        <v>40</v>
      </c>
      <c r="K554" t="s">
        <v>32</v>
      </c>
      <c r="L554">
        <v>54</v>
      </c>
      <c r="M554" t="str">
        <f t="shared" si="8"/>
        <v>Middle Age</v>
      </c>
      <c r="N554" t="s">
        <v>15</v>
      </c>
    </row>
    <row r="555" spans="1:14" x14ac:dyDescent="0.25">
      <c r="A555">
        <v>17533</v>
      </c>
      <c r="B555" t="s">
        <v>36</v>
      </c>
      <c r="C555" t="s">
        <v>39</v>
      </c>
      <c r="D555" s="3">
        <v>40000</v>
      </c>
      <c r="E555">
        <v>3</v>
      </c>
      <c r="F555" t="s">
        <v>19</v>
      </c>
      <c r="G555" t="s">
        <v>21</v>
      </c>
      <c r="H555" t="s">
        <v>18</v>
      </c>
      <c r="I555">
        <v>2</v>
      </c>
      <c r="J555" t="s">
        <v>23</v>
      </c>
      <c r="K555" t="s">
        <v>32</v>
      </c>
      <c r="L555">
        <v>73</v>
      </c>
      <c r="M555" t="str">
        <f t="shared" si="8"/>
        <v>Old</v>
      </c>
      <c r="N555" t="s">
        <v>15</v>
      </c>
    </row>
    <row r="556" spans="1:14" x14ac:dyDescent="0.25">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25">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25">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25">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25">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25">
      <c r="A561">
        <v>15895</v>
      </c>
      <c r="B561" t="s">
        <v>37</v>
      </c>
      <c r="C561" t="s">
        <v>38</v>
      </c>
      <c r="D561" s="3">
        <v>60000</v>
      </c>
      <c r="E561">
        <v>2</v>
      </c>
      <c r="F561" t="s">
        <v>13</v>
      </c>
      <c r="G561" t="s">
        <v>28</v>
      </c>
      <c r="H561" t="s">
        <v>15</v>
      </c>
      <c r="I561">
        <v>0</v>
      </c>
      <c r="J561" t="s">
        <v>40</v>
      </c>
      <c r="K561" t="s">
        <v>32</v>
      </c>
      <c r="L561">
        <v>58</v>
      </c>
      <c r="M561" t="str">
        <f t="shared" si="8"/>
        <v>Old</v>
      </c>
      <c r="N561" t="s">
        <v>18</v>
      </c>
    </row>
    <row r="562" spans="1:14" x14ac:dyDescent="0.25">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25">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25">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25">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25">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25">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25">
      <c r="A568">
        <v>18847</v>
      </c>
      <c r="B568" t="s">
        <v>36</v>
      </c>
      <c r="C568" t="s">
        <v>38</v>
      </c>
      <c r="D568" s="3">
        <v>60000</v>
      </c>
      <c r="E568">
        <v>2</v>
      </c>
      <c r="F568" t="s">
        <v>31</v>
      </c>
      <c r="G568" t="s">
        <v>28</v>
      </c>
      <c r="H568" t="s">
        <v>15</v>
      </c>
      <c r="I568">
        <v>2</v>
      </c>
      <c r="J568" t="s">
        <v>23</v>
      </c>
      <c r="K568" t="s">
        <v>32</v>
      </c>
      <c r="L568">
        <v>70</v>
      </c>
      <c r="M568" t="str">
        <f t="shared" si="8"/>
        <v>Old</v>
      </c>
      <c r="N568" t="s">
        <v>18</v>
      </c>
    </row>
    <row r="569" spans="1:14" x14ac:dyDescent="0.25">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25">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25">
      <c r="A571">
        <v>26452</v>
      </c>
      <c r="B571" t="s">
        <v>37</v>
      </c>
      <c r="C571" t="s">
        <v>39</v>
      </c>
      <c r="D571" s="3">
        <v>50000</v>
      </c>
      <c r="E571">
        <v>3</v>
      </c>
      <c r="F571" t="s">
        <v>31</v>
      </c>
      <c r="G571" t="s">
        <v>28</v>
      </c>
      <c r="H571" t="s">
        <v>15</v>
      </c>
      <c r="I571">
        <v>2</v>
      </c>
      <c r="J571" t="s">
        <v>40</v>
      </c>
      <c r="K571" t="s">
        <v>32</v>
      </c>
      <c r="L571">
        <v>69</v>
      </c>
      <c r="M571" t="str">
        <f t="shared" si="8"/>
        <v>Old</v>
      </c>
      <c r="N571" t="s">
        <v>18</v>
      </c>
    </row>
    <row r="572" spans="1:14" x14ac:dyDescent="0.25">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25">
      <c r="A573">
        <v>20528</v>
      </c>
      <c r="B573" t="s">
        <v>36</v>
      </c>
      <c r="C573" t="s">
        <v>39</v>
      </c>
      <c r="D573" s="3">
        <v>40000</v>
      </c>
      <c r="E573">
        <v>2</v>
      </c>
      <c r="F573" t="s">
        <v>29</v>
      </c>
      <c r="G573" t="s">
        <v>14</v>
      </c>
      <c r="H573" t="s">
        <v>15</v>
      </c>
      <c r="I573">
        <v>2</v>
      </c>
      <c r="J573" t="s">
        <v>22</v>
      </c>
      <c r="K573" t="s">
        <v>32</v>
      </c>
      <c r="L573">
        <v>55</v>
      </c>
      <c r="M573" t="str">
        <f t="shared" si="8"/>
        <v>Old</v>
      </c>
      <c r="N573" t="s">
        <v>18</v>
      </c>
    </row>
    <row r="574" spans="1:14" x14ac:dyDescent="0.25">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25">
      <c r="A575">
        <v>21751</v>
      </c>
      <c r="B575" t="s">
        <v>36</v>
      </c>
      <c r="C575" t="s">
        <v>39</v>
      </c>
      <c r="D575" s="3">
        <v>60000</v>
      </c>
      <c r="E575">
        <v>3</v>
      </c>
      <c r="F575" t="s">
        <v>31</v>
      </c>
      <c r="G575" t="s">
        <v>28</v>
      </c>
      <c r="H575" t="s">
        <v>15</v>
      </c>
      <c r="I575">
        <v>2</v>
      </c>
      <c r="J575" t="s">
        <v>26</v>
      </c>
      <c r="K575" t="s">
        <v>32</v>
      </c>
      <c r="L575">
        <v>63</v>
      </c>
      <c r="M575" t="str">
        <f t="shared" si="8"/>
        <v>Old</v>
      </c>
      <c r="N575" t="s">
        <v>18</v>
      </c>
    </row>
    <row r="576" spans="1:14" x14ac:dyDescent="0.25">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25">
      <c r="A577">
        <v>13388</v>
      </c>
      <c r="B577" t="s">
        <v>37</v>
      </c>
      <c r="C577" t="s">
        <v>39</v>
      </c>
      <c r="D577" s="3">
        <v>60000</v>
      </c>
      <c r="E577">
        <v>2</v>
      </c>
      <c r="F577" t="s">
        <v>19</v>
      </c>
      <c r="G577" t="s">
        <v>21</v>
      </c>
      <c r="H577" t="s">
        <v>15</v>
      </c>
      <c r="I577">
        <v>1</v>
      </c>
      <c r="J577" t="s">
        <v>40</v>
      </c>
      <c r="K577" t="s">
        <v>32</v>
      </c>
      <c r="L577">
        <v>56</v>
      </c>
      <c r="M577" t="str">
        <f t="shared" si="8"/>
        <v>Old</v>
      </c>
      <c r="N577" t="s">
        <v>18</v>
      </c>
    </row>
    <row r="578" spans="1:14" x14ac:dyDescent="0.25">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25">
      <c r="A579">
        <v>16917</v>
      </c>
      <c r="B579" t="s">
        <v>36</v>
      </c>
      <c r="C579" t="s">
        <v>39</v>
      </c>
      <c r="D579" s="3">
        <v>120000</v>
      </c>
      <c r="E579">
        <v>1</v>
      </c>
      <c r="F579" t="s">
        <v>13</v>
      </c>
      <c r="G579" t="s">
        <v>28</v>
      </c>
      <c r="H579" t="s">
        <v>15</v>
      </c>
      <c r="I579">
        <v>4</v>
      </c>
      <c r="J579" t="s">
        <v>16</v>
      </c>
      <c r="K579" t="s">
        <v>32</v>
      </c>
      <c r="L579">
        <v>38</v>
      </c>
      <c r="M579" t="str">
        <f t="shared" ref="M579:M642" si="9">IF(L579&gt;54,"Old",IF(L579&gt;=31,"Middle Age",IF(L579&lt;31,"Adolescent","Invalid")))</f>
        <v>Middle Age</v>
      </c>
      <c r="N579" t="s">
        <v>18</v>
      </c>
    </row>
    <row r="580" spans="1:14" x14ac:dyDescent="0.25">
      <c r="A580">
        <v>15313</v>
      </c>
      <c r="B580" t="s">
        <v>36</v>
      </c>
      <c r="C580" t="s">
        <v>39</v>
      </c>
      <c r="D580" s="3">
        <v>60000</v>
      </c>
      <c r="E580">
        <v>4</v>
      </c>
      <c r="F580" t="s">
        <v>13</v>
      </c>
      <c r="G580" t="s">
        <v>28</v>
      </c>
      <c r="H580" t="s">
        <v>15</v>
      </c>
      <c r="I580">
        <v>2</v>
      </c>
      <c r="J580" t="s">
        <v>22</v>
      </c>
      <c r="K580" t="s">
        <v>32</v>
      </c>
      <c r="L580">
        <v>59</v>
      </c>
      <c r="M580" t="str">
        <f t="shared" si="9"/>
        <v>Old</v>
      </c>
      <c r="N580" t="s">
        <v>18</v>
      </c>
    </row>
    <row r="581" spans="1:14" x14ac:dyDescent="0.25">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25">
      <c r="A582">
        <v>20380</v>
      </c>
      <c r="B582" t="s">
        <v>36</v>
      </c>
      <c r="C582" t="s">
        <v>38</v>
      </c>
      <c r="D582" s="3">
        <v>60000</v>
      </c>
      <c r="E582">
        <v>3</v>
      </c>
      <c r="F582" t="s">
        <v>31</v>
      </c>
      <c r="G582" t="s">
        <v>28</v>
      </c>
      <c r="H582" t="s">
        <v>15</v>
      </c>
      <c r="I582">
        <v>2</v>
      </c>
      <c r="J582" t="s">
        <v>40</v>
      </c>
      <c r="K582" t="s">
        <v>32</v>
      </c>
      <c r="L582">
        <v>69</v>
      </c>
      <c r="M582" t="str">
        <f t="shared" si="9"/>
        <v>Old</v>
      </c>
      <c r="N582" t="s">
        <v>18</v>
      </c>
    </row>
    <row r="583" spans="1:14" x14ac:dyDescent="0.25">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25">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25">
      <c r="A585">
        <v>24943</v>
      </c>
      <c r="B585" t="s">
        <v>36</v>
      </c>
      <c r="C585" t="s">
        <v>39</v>
      </c>
      <c r="D585" s="3">
        <v>60000</v>
      </c>
      <c r="E585">
        <v>3</v>
      </c>
      <c r="F585" t="s">
        <v>13</v>
      </c>
      <c r="G585" t="s">
        <v>28</v>
      </c>
      <c r="H585" t="s">
        <v>15</v>
      </c>
      <c r="I585">
        <v>2</v>
      </c>
      <c r="J585" t="s">
        <v>40</v>
      </c>
      <c r="K585" t="s">
        <v>32</v>
      </c>
      <c r="L585">
        <v>66</v>
      </c>
      <c r="M585" t="str">
        <f t="shared" si="9"/>
        <v>Old</v>
      </c>
      <c r="N585" t="s">
        <v>18</v>
      </c>
    </row>
    <row r="586" spans="1:14" x14ac:dyDescent="0.25">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25">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25">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25">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25">
      <c r="A590">
        <v>16871</v>
      </c>
      <c r="B590" t="s">
        <v>36</v>
      </c>
      <c r="C590" t="s">
        <v>38</v>
      </c>
      <c r="D590" s="3">
        <v>90000</v>
      </c>
      <c r="E590">
        <v>2</v>
      </c>
      <c r="F590" t="s">
        <v>27</v>
      </c>
      <c r="G590" t="s">
        <v>21</v>
      </c>
      <c r="H590" t="s">
        <v>15</v>
      </c>
      <c r="I590">
        <v>1</v>
      </c>
      <c r="J590" t="s">
        <v>40</v>
      </c>
      <c r="K590" t="s">
        <v>32</v>
      </c>
      <c r="L590">
        <v>51</v>
      </c>
      <c r="M590" t="str">
        <f t="shared" si="9"/>
        <v>Middle Age</v>
      </c>
      <c r="N590" t="s">
        <v>15</v>
      </c>
    </row>
    <row r="591" spans="1:14" x14ac:dyDescent="0.25">
      <c r="A591">
        <v>12100</v>
      </c>
      <c r="B591" t="s">
        <v>37</v>
      </c>
      <c r="C591" t="s">
        <v>39</v>
      </c>
      <c r="D591" s="3">
        <v>60000</v>
      </c>
      <c r="E591">
        <v>2</v>
      </c>
      <c r="F591" t="s">
        <v>13</v>
      </c>
      <c r="G591" t="s">
        <v>28</v>
      </c>
      <c r="H591" t="s">
        <v>15</v>
      </c>
      <c r="I591">
        <v>0</v>
      </c>
      <c r="J591" t="s">
        <v>40</v>
      </c>
      <c r="K591" t="s">
        <v>32</v>
      </c>
      <c r="L591">
        <v>57</v>
      </c>
      <c r="M591" t="str">
        <f t="shared" si="9"/>
        <v>Old</v>
      </c>
      <c r="N591" t="s">
        <v>18</v>
      </c>
    </row>
    <row r="592" spans="1:14" x14ac:dyDescent="0.25">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25">
      <c r="A593">
        <v>18545</v>
      </c>
      <c r="B593" t="s">
        <v>36</v>
      </c>
      <c r="C593" t="s">
        <v>39</v>
      </c>
      <c r="D593" s="3">
        <v>40000</v>
      </c>
      <c r="E593">
        <v>4</v>
      </c>
      <c r="F593" t="s">
        <v>27</v>
      </c>
      <c r="G593" t="s">
        <v>21</v>
      </c>
      <c r="H593" t="s">
        <v>18</v>
      </c>
      <c r="I593">
        <v>2</v>
      </c>
      <c r="J593" t="s">
        <v>40</v>
      </c>
      <c r="K593" t="s">
        <v>32</v>
      </c>
      <c r="L593">
        <v>61</v>
      </c>
      <c r="M593" t="str">
        <f t="shared" si="9"/>
        <v>Old</v>
      </c>
      <c r="N593" t="s">
        <v>15</v>
      </c>
    </row>
    <row r="594" spans="1:14" x14ac:dyDescent="0.25">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25">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25">
      <c r="A596">
        <v>27660</v>
      </c>
      <c r="B596" t="s">
        <v>36</v>
      </c>
      <c r="C596" t="s">
        <v>39</v>
      </c>
      <c r="D596" s="3">
        <v>80000</v>
      </c>
      <c r="E596">
        <v>4</v>
      </c>
      <c r="F596" t="s">
        <v>31</v>
      </c>
      <c r="G596" t="s">
        <v>28</v>
      </c>
      <c r="H596" t="s">
        <v>15</v>
      </c>
      <c r="I596">
        <v>2</v>
      </c>
      <c r="J596" t="s">
        <v>23</v>
      </c>
      <c r="K596" t="s">
        <v>32</v>
      </c>
      <c r="L596">
        <v>70</v>
      </c>
      <c r="M596" t="str">
        <f t="shared" si="9"/>
        <v>Old</v>
      </c>
      <c r="N596" t="s">
        <v>18</v>
      </c>
    </row>
    <row r="597" spans="1:14" x14ac:dyDescent="0.25">
      <c r="A597">
        <v>18058</v>
      </c>
      <c r="B597" t="s">
        <v>37</v>
      </c>
      <c r="C597" t="s">
        <v>38</v>
      </c>
      <c r="D597" s="3">
        <v>20000</v>
      </c>
      <c r="E597">
        <v>3</v>
      </c>
      <c r="F597" t="s">
        <v>27</v>
      </c>
      <c r="G597" t="s">
        <v>14</v>
      </c>
      <c r="H597" t="s">
        <v>15</v>
      </c>
      <c r="I597">
        <v>2</v>
      </c>
      <c r="J597" t="s">
        <v>22</v>
      </c>
      <c r="K597" t="s">
        <v>32</v>
      </c>
      <c r="L597">
        <v>78</v>
      </c>
      <c r="M597" t="str">
        <f t="shared" si="9"/>
        <v>Old</v>
      </c>
      <c r="N597" t="s">
        <v>18</v>
      </c>
    </row>
    <row r="598" spans="1:14" x14ac:dyDescent="0.25">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25">
      <c r="A599">
        <v>28997</v>
      </c>
      <c r="B599" t="s">
        <v>37</v>
      </c>
      <c r="C599" t="s">
        <v>39</v>
      </c>
      <c r="D599" s="3">
        <v>40000</v>
      </c>
      <c r="E599">
        <v>2</v>
      </c>
      <c r="F599" t="s">
        <v>27</v>
      </c>
      <c r="G599" t="s">
        <v>21</v>
      </c>
      <c r="H599" t="s">
        <v>18</v>
      </c>
      <c r="I599">
        <v>1</v>
      </c>
      <c r="J599" t="s">
        <v>22</v>
      </c>
      <c r="K599" t="s">
        <v>32</v>
      </c>
      <c r="L599">
        <v>58</v>
      </c>
      <c r="M599" t="str">
        <f t="shared" si="9"/>
        <v>Old</v>
      </c>
      <c r="N599" t="s">
        <v>15</v>
      </c>
    </row>
    <row r="600" spans="1:14" x14ac:dyDescent="0.25">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25">
      <c r="A601">
        <v>19002</v>
      </c>
      <c r="B601" t="s">
        <v>36</v>
      </c>
      <c r="C601" t="s">
        <v>38</v>
      </c>
      <c r="D601" s="3">
        <v>60000</v>
      </c>
      <c r="E601">
        <v>2</v>
      </c>
      <c r="F601" t="s">
        <v>19</v>
      </c>
      <c r="G601" t="s">
        <v>21</v>
      </c>
      <c r="H601" t="s">
        <v>15</v>
      </c>
      <c r="I601">
        <v>1</v>
      </c>
      <c r="J601" t="s">
        <v>22</v>
      </c>
      <c r="K601" t="s">
        <v>32</v>
      </c>
      <c r="L601">
        <v>57</v>
      </c>
      <c r="M601" t="str">
        <f t="shared" si="9"/>
        <v>Old</v>
      </c>
      <c r="N601" t="s">
        <v>15</v>
      </c>
    </row>
    <row r="602" spans="1:14" x14ac:dyDescent="0.25">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25">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25">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25">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25">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25">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25">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25">
      <c r="A609">
        <v>16145</v>
      </c>
      <c r="B609" t="s">
        <v>37</v>
      </c>
      <c r="C609" t="s">
        <v>38</v>
      </c>
      <c r="D609" s="3">
        <v>70000</v>
      </c>
      <c r="E609">
        <v>5</v>
      </c>
      <c r="F609" t="s">
        <v>31</v>
      </c>
      <c r="G609" t="s">
        <v>21</v>
      </c>
      <c r="H609" t="s">
        <v>15</v>
      </c>
      <c r="I609">
        <v>3</v>
      </c>
      <c r="J609" t="s">
        <v>40</v>
      </c>
      <c r="K609" t="s">
        <v>32</v>
      </c>
      <c r="L609">
        <v>46</v>
      </c>
      <c r="M609" t="str">
        <f t="shared" si="9"/>
        <v>Middle Age</v>
      </c>
      <c r="N609" t="s">
        <v>15</v>
      </c>
    </row>
    <row r="610" spans="1:14" x14ac:dyDescent="0.25">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25">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25">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25">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25">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25">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25">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25">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25">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25">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25">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25">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25">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25">
      <c r="A623">
        <v>11200</v>
      </c>
      <c r="B623" t="s">
        <v>36</v>
      </c>
      <c r="C623" t="s">
        <v>39</v>
      </c>
      <c r="D623" s="3">
        <v>70000</v>
      </c>
      <c r="E623">
        <v>4</v>
      </c>
      <c r="F623" t="s">
        <v>13</v>
      </c>
      <c r="G623" t="s">
        <v>28</v>
      </c>
      <c r="H623" t="s">
        <v>15</v>
      </c>
      <c r="I623">
        <v>1</v>
      </c>
      <c r="J623" t="s">
        <v>26</v>
      </c>
      <c r="K623" t="s">
        <v>32</v>
      </c>
      <c r="L623">
        <v>58</v>
      </c>
      <c r="M623" t="str">
        <f t="shared" si="9"/>
        <v>Old</v>
      </c>
      <c r="N623" t="s">
        <v>18</v>
      </c>
    </row>
    <row r="624" spans="1:14" x14ac:dyDescent="0.25">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25">
      <c r="A625">
        <v>21801</v>
      </c>
      <c r="B625" t="s">
        <v>36</v>
      </c>
      <c r="C625" t="s">
        <v>38</v>
      </c>
      <c r="D625" s="3">
        <v>70000</v>
      </c>
      <c r="E625">
        <v>4</v>
      </c>
      <c r="F625" t="s">
        <v>19</v>
      </c>
      <c r="G625" t="s">
        <v>21</v>
      </c>
      <c r="H625" t="s">
        <v>15</v>
      </c>
      <c r="I625">
        <v>1</v>
      </c>
      <c r="J625" t="s">
        <v>26</v>
      </c>
      <c r="K625" t="s">
        <v>32</v>
      </c>
      <c r="L625">
        <v>55</v>
      </c>
      <c r="M625" t="str">
        <f t="shared" si="9"/>
        <v>Old</v>
      </c>
      <c r="N625" t="s">
        <v>18</v>
      </c>
    </row>
    <row r="626" spans="1:14" x14ac:dyDescent="0.25">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25">
      <c r="A627">
        <v>22127</v>
      </c>
      <c r="B627" t="s">
        <v>36</v>
      </c>
      <c r="C627" t="s">
        <v>39</v>
      </c>
      <c r="D627" s="3">
        <v>60000</v>
      </c>
      <c r="E627">
        <v>3</v>
      </c>
      <c r="F627" t="s">
        <v>31</v>
      </c>
      <c r="G627" t="s">
        <v>28</v>
      </c>
      <c r="H627" t="s">
        <v>15</v>
      </c>
      <c r="I627">
        <v>2</v>
      </c>
      <c r="J627" t="s">
        <v>26</v>
      </c>
      <c r="K627" t="s">
        <v>32</v>
      </c>
      <c r="L627">
        <v>67</v>
      </c>
      <c r="M627" t="str">
        <f t="shared" si="9"/>
        <v>Old</v>
      </c>
      <c r="N627" t="s">
        <v>18</v>
      </c>
    </row>
    <row r="628" spans="1:14" x14ac:dyDescent="0.25">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25">
      <c r="A629">
        <v>23672</v>
      </c>
      <c r="B629" t="s">
        <v>36</v>
      </c>
      <c r="C629" t="s">
        <v>38</v>
      </c>
      <c r="D629" s="3">
        <v>60000</v>
      </c>
      <c r="E629">
        <v>3</v>
      </c>
      <c r="F629" t="s">
        <v>31</v>
      </c>
      <c r="G629" t="s">
        <v>28</v>
      </c>
      <c r="H629" t="s">
        <v>15</v>
      </c>
      <c r="I629">
        <v>2</v>
      </c>
      <c r="J629" t="s">
        <v>26</v>
      </c>
      <c r="K629" t="s">
        <v>32</v>
      </c>
      <c r="L629">
        <v>67</v>
      </c>
      <c r="M629" t="str">
        <f t="shared" si="9"/>
        <v>Old</v>
      </c>
      <c r="N629" t="s">
        <v>18</v>
      </c>
    </row>
    <row r="630" spans="1:14" x14ac:dyDescent="0.25">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25">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25">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25">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25">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25">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25">
      <c r="A636">
        <v>27388</v>
      </c>
      <c r="B636" t="s">
        <v>36</v>
      </c>
      <c r="C636" t="s">
        <v>39</v>
      </c>
      <c r="D636" s="3">
        <v>60000</v>
      </c>
      <c r="E636">
        <v>3</v>
      </c>
      <c r="F636" t="s">
        <v>13</v>
      </c>
      <c r="G636" t="s">
        <v>28</v>
      </c>
      <c r="H636" t="s">
        <v>18</v>
      </c>
      <c r="I636">
        <v>2</v>
      </c>
      <c r="J636" t="s">
        <v>26</v>
      </c>
      <c r="K636" t="s">
        <v>32</v>
      </c>
      <c r="L636">
        <v>66</v>
      </c>
      <c r="M636" t="str">
        <f t="shared" si="9"/>
        <v>Old</v>
      </c>
      <c r="N636" t="s">
        <v>18</v>
      </c>
    </row>
    <row r="637" spans="1:14" x14ac:dyDescent="0.25">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25">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25">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25">
      <c r="A640">
        <v>18949</v>
      </c>
      <c r="B640" t="s">
        <v>37</v>
      </c>
      <c r="C640" t="s">
        <v>39</v>
      </c>
      <c r="D640" s="3">
        <v>70000</v>
      </c>
      <c r="E640">
        <v>0</v>
      </c>
      <c r="F640" t="s">
        <v>31</v>
      </c>
      <c r="G640" t="s">
        <v>28</v>
      </c>
      <c r="H640" t="s">
        <v>15</v>
      </c>
      <c r="I640">
        <v>2</v>
      </c>
      <c r="J640" t="s">
        <v>23</v>
      </c>
      <c r="K640" t="s">
        <v>32</v>
      </c>
      <c r="L640">
        <v>74</v>
      </c>
      <c r="M640" t="str">
        <f t="shared" si="9"/>
        <v>Old</v>
      </c>
      <c r="N640" t="s">
        <v>15</v>
      </c>
    </row>
    <row r="641" spans="1:14" x14ac:dyDescent="0.25">
      <c r="A641">
        <v>14507</v>
      </c>
      <c r="B641" t="s">
        <v>36</v>
      </c>
      <c r="C641" t="s">
        <v>39</v>
      </c>
      <c r="D641" s="3">
        <v>100000</v>
      </c>
      <c r="E641">
        <v>2</v>
      </c>
      <c r="F641" t="s">
        <v>31</v>
      </c>
      <c r="G641" t="s">
        <v>28</v>
      </c>
      <c r="H641" t="s">
        <v>15</v>
      </c>
      <c r="I641">
        <v>3</v>
      </c>
      <c r="J641" t="s">
        <v>26</v>
      </c>
      <c r="K641" t="s">
        <v>32</v>
      </c>
      <c r="L641">
        <v>65</v>
      </c>
      <c r="M641" t="str">
        <f t="shared" si="9"/>
        <v>Old</v>
      </c>
      <c r="N641" t="s">
        <v>18</v>
      </c>
    </row>
    <row r="642" spans="1:14" x14ac:dyDescent="0.25">
      <c r="A642">
        <v>25886</v>
      </c>
      <c r="B642" t="s">
        <v>36</v>
      </c>
      <c r="C642" t="s">
        <v>38</v>
      </c>
      <c r="D642" s="3">
        <v>60000</v>
      </c>
      <c r="E642">
        <v>2</v>
      </c>
      <c r="F642" t="s">
        <v>19</v>
      </c>
      <c r="G642" t="s">
        <v>21</v>
      </c>
      <c r="H642" t="s">
        <v>15</v>
      </c>
      <c r="I642">
        <v>2</v>
      </c>
      <c r="J642" t="s">
        <v>22</v>
      </c>
      <c r="K642" t="s">
        <v>32</v>
      </c>
      <c r="L642">
        <v>56</v>
      </c>
      <c r="M642" t="str">
        <f t="shared" si="9"/>
        <v>Old</v>
      </c>
      <c r="N642" t="s">
        <v>15</v>
      </c>
    </row>
    <row r="643" spans="1:14" x14ac:dyDescent="0.25">
      <c r="A643">
        <v>21441</v>
      </c>
      <c r="B643" t="s">
        <v>36</v>
      </c>
      <c r="C643" t="s">
        <v>39</v>
      </c>
      <c r="D643" s="3">
        <v>50000</v>
      </c>
      <c r="E643">
        <v>4</v>
      </c>
      <c r="F643" t="s">
        <v>13</v>
      </c>
      <c r="G643" t="s">
        <v>28</v>
      </c>
      <c r="H643" t="s">
        <v>15</v>
      </c>
      <c r="I643">
        <v>2</v>
      </c>
      <c r="J643" t="s">
        <v>40</v>
      </c>
      <c r="K643" t="s">
        <v>32</v>
      </c>
      <c r="L643">
        <v>64</v>
      </c>
      <c r="M643" t="str">
        <f t="shared" ref="M643:M706" si="10">IF(L643&gt;54,"Old",IF(L643&gt;=31,"Middle Age",IF(L643&lt;31,"Adolescent","Invalid")))</f>
        <v>Old</v>
      </c>
      <c r="N643" t="s">
        <v>18</v>
      </c>
    </row>
    <row r="644" spans="1:14" x14ac:dyDescent="0.25">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25">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25">
      <c r="A646">
        <v>23368</v>
      </c>
      <c r="B646" t="s">
        <v>36</v>
      </c>
      <c r="C646" t="s">
        <v>38</v>
      </c>
      <c r="D646" s="3">
        <v>60000</v>
      </c>
      <c r="E646">
        <v>5</v>
      </c>
      <c r="F646" t="s">
        <v>13</v>
      </c>
      <c r="G646" t="s">
        <v>14</v>
      </c>
      <c r="H646" t="s">
        <v>15</v>
      </c>
      <c r="I646">
        <v>3</v>
      </c>
      <c r="J646" t="s">
        <v>40</v>
      </c>
      <c r="K646" t="s">
        <v>32</v>
      </c>
      <c r="L646">
        <v>41</v>
      </c>
      <c r="M646" t="str">
        <f t="shared" si="10"/>
        <v>Middle Age</v>
      </c>
      <c r="N646" t="s">
        <v>18</v>
      </c>
    </row>
    <row r="647" spans="1:14" x14ac:dyDescent="0.25">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25">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25">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25">
      <c r="A650">
        <v>25872</v>
      </c>
      <c r="B650" t="s">
        <v>37</v>
      </c>
      <c r="C650" t="s">
        <v>38</v>
      </c>
      <c r="D650" s="3">
        <v>70000</v>
      </c>
      <c r="E650">
        <v>2</v>
      </c>
      <c r="F650" t="s">
        <v>13</v>
      </c>
      <c r="G650" t="s">
        <v>28</v>
      </c>
      <c r="H650" t="s">
        <v>18</v>
      </c>
      <c r="I650">
        <v>1</v>
      </c>
      <c r="J650" t="s">
        <v>22</v>
      </c>
      <c r="K650" t="s">
        <v>32</v>
      </c>
      <c r="L650">
        <v>58</v>
      </c>
      <c r="M650" t="str">
        <f t="shared" si="10"/>
        <v>Old</v>
      </c>
      <c r="N650" t="s">
        <v>15</v>
      </c>
    </row>
    <row r="651" spans="1:14" x14ac:dyDescent="0.25">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25">
      <c r="A652">
        <v>18435</v>
      </c>
      <c r="B652" t="s">
        <v>37</v>
      </c>
      <c r="C652" t="s">
        <v>38</v>
      </c>
      <c r="D652" s="3">
        <v>70000</v>
      </c>
      <c r="E652">
        <v>5</v>
      </c>
      <c r="F652" t="s">
        <v>31</v>
      </c>
      <c r="G652" t="s">
        <v>28</v>
      </c>
      <c r="H652" t="s">
        <v>15</v>
      </c>
      <c r="I652">
        <v>2</v>
      </c>
      <c r="J652" t="s">
        <v>40</v>
      </c>
      <c r="K652" t="s">
        <v>32</v>
      </c>
      <c r="L652">
        <v>67</v>
      </c>
      <c r="M652" t="str">
        <f t="shared" si="10"/>
        <v>Old</v>
      </c>
      <c r="N652" t="s">
        <v>15</v>
      </c>
    </row>
    <row r="653" spans="1:14" x14ac:dyDescent="0.25">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25">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25">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25">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25">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25">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25">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25">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25">
      <c r="A661">
        <v>24643</v>
      </c>
      <c r="B661" t="s">
        <v>37</v>
      </c>
      <c r="C661" t="s">
        <v>38</v>
      </c>
      <c r="D661" s="3">
        <v>60000</v>
      </c>
      <c r="E661">
        <v>4</v>
      </c>
      <c r="F661" t="s">
        <v>13</v>
      </c>
      <c r="G661" t="s">
        <v>28</v>
      </c>
      <c r="H661" t="s">
        <v>15</v>
      </c>
      <c r="I661">
        <v>2</v>
      </c>
      <c r="J661" t="s">
        <v>40</v>
      </c>
      <c r="K661" t="s">
        <v>32</v>
      </c>
      <c r="L661">
        <v>63</v>
      </c>
      <c r="M661" t="str">
        <f t="shared" si="10"/>
        <v>Old</v>
      </c>
      <c r="N661" t="s">
        <v>18</v>
      </c>
    </row>
    <row r="662" spans="1:14" x14ac:dyDescent="0.25">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25">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25">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25">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25">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25">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25">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25">
      <c r="A669">
        <v>20505</v>
      </c>
      <c r="B669" t="s">
        <v>36</v>
      </c>
      <c r="C669" t="s">
        <v>38</v>
      </c>
      <c r="D669" s="3">
        <v>40000</v>
      </c>
      <c r="E669">
        <v>5</v>
      </c>
      <c r="F669" t="s">
        <v>27</v>
      </c>
      <c r="G669" t="s">
        <v>21</v>
      </c>
      <c r="H669" t="s">
        <v>18</v>
      </c>
      <c r="I669">
        <v>2</v>
      </c>
      <c r="J669" t="s">
        <v>40</v>
      </c>
      <c r="K669" t="s">
        <v>32</v>
      </c>
      <c r="L669">
        <v>61</v>
      </c>
      <c r="M669" t="str">
        <f t="shared" si="10"/>
        <v>Old</v>
      </c>
      <c r="N669" t="s">
        <v>18</v>
      </c>
    </row>
    <row r="670" spans="1:14" x14ac:dyDescent="0.25">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25">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25">
      <c r="A672">
        <v>21471</v>
      </c>
      <c r="B672" t="s">
        <v>36</v>
      </c>
      <c r="C672" t="s">
        <v>39</v>
      </c>
      <c r="D672" s="3">
        <v>70000</v>
      </c>
      <c r="E672">
        <v>2</v>
      </c>
      <c r="F672" t="s">
        <v>19</v>
      </c>
      <c r="G672" t="s">
        <v>21</v>
      </c>
      <c r="H672" t="s">
        <v>15</v>
      </c>
      <c r="I672">
        <v>1</v>
      </c>
      <c r="J672" t="s">
        <v>40</v>
      </c>
      <c r="K672" t="s">
        <v>32</v>
      </c>
      <c r="L672">
        <v>59</v>
      </c>
      <c r="M672" t="str">
        <f t="shared" si="10"/>
        <v>Old</v>
      </c>
      <c r="N672" t="s">
        <v>18</v>
      </c>
    </row>
    <row r="673" spans="1:14" x14ac:dyDescent="0.25">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25">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25">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25">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25">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25">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25">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25">
      <c r="A680">
        <v>18145</v>
      </c>
      <c r="B680" t="s">
        <v>36</v>
      </c>
      <c r="C680" t="s">
        <v>39</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36</v>
      </c>
      <c r="C681" t="s">
        <v>39</v>
      </c>
      <c r="D681" s="3">
        <v>60000</v>
      </c>
      <c r="E681">
        <v>4</v>
      </c>
      <c r="F681" t="s">
        <v>13</v>
      </c>
      <c r="G681" t="s">
        <v>28</v>
      </c>
      <c r="H681" t="s">
        <v>15</v>
      </c>
      <c r="I681">
        <v>2</v>
      </c>
      <c r="J681" t="s">
        <v>40</v>
      </c>
      <c r="K681" t="s">
        <v>32</v>
      </c>
      <c r="L681">
        <v>60</v>
      </c>
      <c r="M681" t="str">
        <f t="shared" si="10"/>
        <v>Old</v>
      </c>
      <c r="N681" t="s">
        <v>18</v>
      </c>
    </row>
    <row r="682" spans="1:14" x14ac:dyDescent="0.25">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25">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25">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25">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25">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25">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25">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25">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25">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25">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25">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25">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25">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25">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25">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25">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25">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25">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25">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25">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25">
      <c r="A702">
        <v>16795</v>
      </c>
      <c r="B702" t="s">
        <v>36</v>
      </c>
      <c r="C702" t="s">
        <v>38</v>
      </c>
      <c r="D702" s="3">
        <v>70000</v>
      </c>
      <c r="E702">
        <v>4</v>
      </c>
      <c r="F702" t="s">
        <v>13</v>
      </c>
      <c r="G702" t="s">
        <v>28</v>
      </c>
      <c r="H702" t="s">
        <v>15</v>
      </c>
      <c r="I702">
        <v>1</v>
      </c>
      <c r="J702" t="s">
        <v>26</v>
      </c>
      <c r="K702" t="s">
        <v>32</v>
      </c>
      <c r="L702">
        <v>59</v>
      </c>
      <c r="M702" t="str">
        <f t="shared" si="10"/>
        <v>Old</v>
      </c>
      <c r="N702" t="s">
        <v>18</v>
      </c>
    </row>
    <row r="703" spans="1:14" x14ac:dyDescent="0.25">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25">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25">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25">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25">
      <c r="A707">
        <v>11199</v>
      </c>
      <c r="B707" t="s">
        <v>36</v>
      </c>
      <c r="C707" t="s">
        <v>38</v>
      </c>
      <c r="D707" s="3">
        <v>70000</v>
      </c>
      <c r="E707">
        <v>4</v>
      </c>
      <c r="F707" t="s">
        <v>13</v>
      </c>
      <c r="G707" t="s">
        <v>28</v>
      </c>
      <c r="H707" t="s">
        <v>15</v>
      </c>
      <c r="I707">
        <v>1</v>
      </c>
      <c r="J707" t="s">
        <v>40</v>
      </c>
      <c r="K707" t="s">
        <v>32</v>
      </c>
      <c r="L707">
        <v>59</v>
      </c>
      <c r="M707" t="str">
        <f t="shared" ref="M707:M770" si="11">IF(L707&gt;54,"Old",IF(L707&gt;=31,"Middle Age",IF(L707&lt;31,"Adolescent","Invalid")))</f>
        <v>Old</v>
      </c>
      <c r="N707" t="s">
        <v>18</v>
      </c>
    </row>
    <row r="708" spans="1:14" x14ac:dyDescent="0.25">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25">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25">
      <c r="A710">
        <v>18069</v>
      </c>
      <c r="B710" t="s">
        <v>36</v>
      </c>
      <c r="C710" t="s">
        <v>39</v>
      </c>
      <c r="D710" s="3">
        <v>70000</v>
      </c>
      <c r="E710">
        <v>5</v>
      </c>
      <c r="F710" t="s">
        <v>13</v>
      </c>
      <c r="G710" t="s">
        <v>28</v>
      </c>
      <c r="H710" t="s">
        <v>15</v>
      </c>
      <c r="I710">
        <v>4</v>
      </c>
      <c r="J710" t="s">
        <v>40</v>
      </c>
      <c r="K710" t="s">
        <v>32</v>
      </c>
      <c r="L710">
        <v>60</v>
      </c>
      <c r="M710" t="str">
        <f t="shared" si="11"/>
        <v>Old</v>
      </c>
      <c r="N710" t="s">
        <v>18</v>
      </c>
    </row>
    <row r="711" spans="1:14" x14ac:dyDescent="0.25">
      <c r="A711">
        <v>23712</v>
      </c>
      <c r="B711" t="s">
        <v>37</v>
      </c>
      <c r="C711" t="s">
        <v>38</v>
      </c>
      <c r="D711" s="3">
        <v>70000</v>
      </c>
      <c r="E711">
        <v>2</v>
      </c>
      <c r="F711" t="s">
        <v>13</v>
      </c>
      <c r="G711" t="s">
        <v>28</v>
      </c>
      <c r="H711" t="s">
        <v>15</v>
      </c>
      <c r="I711">
        <v>1</v>
      </c>
      <c r="J711" t="s">
        <v>40</v>
      </c>
      <c r="K711" t="s">
        <v>32</v>
      </c>
      <c r="L711">
        <v>59</v>
      </c>
      <c r="M711" t="str">
        <f t="shared" si="11"/>
        <v>Old</v>
      </c>
      <c r="N711" t="s">
        <v>18</v>
      </c>
    </row>
    <row r="712" spans="1:14" x14ac:dyDescent="0.25">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25">
      <c r="A713">
        <v>20518</v>
      </c>
      <c r="B713" t="s">
        <v>36</v>
      </c>
      <c r="C713" t="s">
        <v>38</v>
      </c>
      <c r="D713" s="3">
        <v>70000</v>
      </c>
      <c r="E713">
        <v>2</v>
      </c>
      <c r="F713" t="s">
        <v>19</v>
      </c>
      <c r="G713" t="s">
        <v>21</v>
      </c>
      <c r="H713" t="s">
        <v>15</v>
      </c>
      <c r="I713">
        <v>1</v>
      </c>
      <c r="J713" t="s">
        <v>40</v>
      </c>
      <c r="K713" t="s">
        <v>32</v>
      </c>
      <c r="L713">
        <v>58</v>
      </c>
      <c r="M713" t="str">
        <f t="shared" si="11"/>
        <v>Old</v>
      </c>
      <c r="N713" t="s">
        <v>18</v>
      </c>
    </row>
    <row r="714" spans="1:14" x14ac:dyDescent="0.25">
      <c r="A714">
        <v>28026</v>
      </c>
      <c r="B714" t="s">
        <v>36</v>
      </c>
      <c r="C714" t="s">
        <v>38</v>
      </c>
      <c r="D714" s="3">
        <v>40000</v>
      </c>
      <c r="E714">
        <v>2</v>
      </c>
      <c r="F714" t="s">
        <v>27</v>
      </c>
      <c r="G714" t="s">
        <v>21</v>
      </c>
      <c r="H714" t="s">
        <v>18</v>
      </c>
      <c r="I714">
        <v>2</v>
      </c>
      <c r="J714" t="s">
        <v>22</v>
      </c>
      <c r="K714" t="s">
        <v>32</v>
      </c>
      <c r="L714">
        <v>59</v>
      </c>
      <c r="M714" t="str">
        <f t="shared" si="11"/>
        <v>Old</v>
      </c>
      <c r="N714" t="s">
        <v>18</v>
      </c>
    </row>
    <row r="715" spans="1:14" x14ac:dyDescent="0.25">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25">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25">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25">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25">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25">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25">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25">
      <c r="A722">
        <v>24958</v>
      </c>
      <c r="B722" t="s">
        <v>37</v>
      </c>
      <c r="C722" t="s">
        <v>38</v>
      </c>
      <c r="D722" s="3">
        <v>40000</v>
      </c>
      <c r="E722">
        <v>5</v>
      </c>
      <c r="F722" t="s">
        <v>27</v>
      </c>
      <c r="G722" t="s">
        <v>21</v>
      </c>
      <c r="H722" t="s">
        <v>18</v>
      </c>
      <c r="I722">
        <v>3</v>
      </c>
      <c r="J722" t="s">
        <v>22</v>
      </c>
      <c r="K722" t="s">
        <v>32</v>
      </c>
      <c r="L722">
        <v>60</v>
      </c>
      <c r="M722" t="str">
        <f t="shared" si="11"/>
        <v>Old</v>
      </c>
      <c r="N722" t="s">
        <v>15</v>
      </c>
    </row>
    <row r="723" spans="1:14" x14ac:dyDescent="0.25">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25">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25">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25">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25">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25">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25">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25">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25">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25">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25">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25">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25">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25">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25">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25">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25">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25">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25">
      <c r="A741">
        <v>11225</v>
      </c>
      <c r="B741" t="s">
        <v>36</v>
      </c>
      <c r="C741" t="s">
        <v>38</v>
      </c>
      <c r="D741" s="3">
        <v>60000</v>
      </c>
      <c r="E741">
        <v>2</v>
      </c>
      <c r="F741" t="s">
        <v>19</v>
      </c>
      <c r="G741" t="s">
        <v>21</v>
      </c>
      <c r="H741" t="s">
        <v>15</v>
      </c>
      <c r="I741">
        <v>1</v>
      </c>
      <c r="J741" t="s">
        <v>40</v>
      </c>
      <c r="K741" t="s">
        <v>32</v>
      </c>
      <c r="L741">
        <v>55</v>
      </c>
      <c r="M741" t="str">
        <f t="shared" si="11"/>
        <v>Old</v>
      </c>
      <c r="N741" t="s">
        <v>18</v>
      </c>
    </row>
    <row r="742" spans="1:14" x14ac:dyDescent="0.25">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25">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25">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25">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25">
      <c r="A746">
        <v>20535</v>
      </c>
      <c r="B746" t="s">
        <v>36</v>
      </c>
      <c r="C746" t="s">
        <v>38</v>
      </c>
      <c r="D746" s="3">
        <v>70000</v>
      </c>
      <c r="E746">
        <v>4</v>
      </c>
      <c r="F746" t="s">
        <v>19</v>
      </c>
      <c r="G746" t="s">
        <v>21</v>
      </c>
      <c r="H746" t="s">
        <v>15</v>
      </c>
      <c r="I746">
        <v>1</v>
      </c>
      <c r="J746" t="s">
        <v>40</v>
      </c>
      <c r="K746" t="s">
        <v>32</v>
      </c>
      <c r="L746">
        <v>56</v>
      </c>
      <c r="M746" t="str">
        <f t="shared" si="11"/>
        <v>Old</v>
      </c>
      <c r="N746" t="s">
        <v>18</v>
      </c>
    </row>
    <row r="747" spans="1:14" x14ac:dyDescent="0.25">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25">
      <c r="A748">
        <v>28043</v>
      </c>
      <c r="B748" t="s">
        <v>36</v>
      </c>
      <c r="C748" t="s">
        <v>38</v>
      </c>
      <c r="D748" s="3">
        <v>60000</v>
      </c>
      <c r="E748">
        <v>2</v>
      </c>
      <c r="F748" t="s">
        <v>13</v>
      </c>
      <c r="G748" t="s">
        <v>28</v>
      </c>
      <c r="H748" t="s">
        <v>15</v>
      </c>
      <c r="I748">
        <v>0</v>
      </c>
      <c r="J748" t="s">
        <v>40</v>
      </c>
      <c r="K748" t="s">
        <v>32</v>
      </c>
      <c r="L748">
        <v>56</v>
      </c>
      <c r="M748" t="str">
        <f t="shared" si="11"/>
        <v>Old</v>
      </c>
      <c r="N748" t="s">
        <v>18</v>
      </c>
    </row>
    <row r="749" spans="1:14" x14ac:dyDescent="0.25">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25">
      <c r="A750">
        <v>15412</v>
      </c>
      <c r="B750" t="s">
        <v>36</v>
      </c>
      <c r="C750" t="s">
        <v>39</v>
      </c>
      <c r="D750" s="3">
        <v>130000</v>
      </c>
      <c r="E750">
        <v>2</v>
      </c>
      <c r="F750" t="s">
        <v>31</v>
      </c>
      <c r="G750" t="s">
        <v>28</v>
      </c>
      <c r="H750" t="s">
        <v>15</v>
      </c>
      <c r="I750">
        <v>3</v>
      </c>
      <c r="J750" t="s">
        <v>22</v>
      </c>
      <c r="K750" t="s">
        <v>32</v>
      </c>
      <c r="L750">
        <v>69</v>
      </c>
      <c r="M750" t="str">
        <f t="shared" si="11"/>
        <v>Old</v>
      </c>
      <c r="N750" t="s">
        <v>18</v>
      </c>
    </row>
    <row r="751" spans="1:14" x14ac:dyDescent="0.25">
      <c r="A751">
        <v>20514</v>
      </c>
      <c r="B751" t="s">
        <v>36</v>
      </c>
      <c r="C751" t="s">
        <v>38</v>
      </c>
      <c r="D751" s="3">
        <v>70000</v>
      </c>
      <c r="E751">
        <v>2</v>
      </c>
      <c r="F751" t="s">
        <v>19</v>
      </c>
      <c r="G751" t="s">
        <v>21</v>
      </c>
      <c r="H751" t="s">
        <v>15</v>
      </c>
      <c r="I751">
        <v>1</v>
      </c>
      <c r="J751" t="s">
        <v>22</v>
      </c>
      <c r="K751" t="s">
        <v>32</v>
      </c>
      <c r="L751">
        <v>59</v>
      </c>
      <c r="M751" t="str">
        <f t="shared" si="11"/>
        <v>Old</v>
      </c>
      <c r="N751" t="s">
        <v>18</v>
      </c>
    </row>
    <row r="752" spans="1:14" x14ac:dyDescent="0.25">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25">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25">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25">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25">
      <c r="A756">
        <v>23668</v>
      </c>
      <c r="B756" t="s">
        <v>36</v>
      </c>
      <c r="C756" t="s">
        <v>38</v>
      </c>
      <c r="D756" s="3">
        <v>40000</v>
      </c>
      <c r="E756">
        <v>4</v>
      </c>
      <c r="F756" t="s">
        <v>27</v>
      </c>
      <c r="G756" t="s">
        <v>21</v>
      </c>
      <c r="H756" t="s">
        <v>15</v>
      </c>
      <c r="I756">
        <v>2</v>
      </c>
      <c r="J756" t="s">
        <v>23</v>
      </c>
      <c r="K756" t="s">
        <v>32</v>
      </c>
      <c r="L756">
        <v>59</v>
      </c>
      <c r="M756" t="str">
        <f t="shared" si="11"/>
        <v>Old</v>
      </c>
      <c r="N756" t="s">
        <v>15</v>
      </c>
    </row>
    <row r="757" spans="1:14" x14ac:dyDescent="0.25">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25">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25">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25">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25">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25">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25">
      <c r="A763">
        <v>13216</v>
      </c>
      <c r="B763" t="s">
        <v>36</v>
      </c>
      <c r="C763" t="s">
        <v>38</v>
      </c>
      <c r="D763" s="3">
        <v>60000</v>
      </c>
      <c r="E763">
        <v>5</v>
      </c>
      <c r="F763" t="s">
        <v>13</v>
      </c>
      <c r="G763" t="s">
        <v>28</v>
      </c>
      <c r="H763" t="s">
        <v>15</v>
      </c>
      <c r="I763">
        <v>3</v>
      </c>
      <c r="J763" t="s">
        <v>40</v>
      </c>
      <c r="K763" t="s">
        <v>32</v>
      </c>
      <c r="L763">
        <v>59</v>
      </c>
      <c r="M763" t="str">
        <f t="shared" si="11"/>
        <v>Old</v>
      </c>
      <c r="N763" t="s">
        <v>18</v>
      </c>
    </row>
    <row r="764" spans="1:14" x14ac:dyDescent="0.25">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25">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25">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25">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25">
      <c r="A768">
        <v>14608</v>
      </c>
      <c r="B768" t="s">
        <v>36</v>
      </c>
      <c r="C768" t="s">
        <v>39</v>
      </c>
      <c r="D768" s="3">
        <v>50000</v>
      </c>
      <c r="E768">
        <v>4</v>
      </c>
      <c r="F768" t="s">
        <v>13</v>
      </c>
      <c r="G768" t="s">
        <v>14</v>
      </c>
      <c r="H768" t="s">
        <v>15</v>
      </c>
      <c r="I768">
        <v>3</v>
      </c>
      <c r="J768" t="s">
        <v>40</v>
      </c>
      <c r="K768" t="s">
        <v>32</v>
      </c>
      <c r="L768">
        <v>42</v>
      </c>
      <c r="M768" t="str">
        <f t="shared" si="11"/>
        <v>Middle Age</v>
      </c>
      <c r="N768" t="s">
        <v>18</v>
      </c>
    </row>
    <row r="769" spans="1:14" x14ac:dyDescent="0.25">
      <c r="A769">
        <v>24979</v>
      </c>
      <c r="B769" t="s">
        <v>36</v>
      </c>
      <c r="C769" t="s">
        <v>38</v>
      </c>
      <c r="D769" s="3">
        <v>60000</v>
      </c>
      <c r="E769">
        <v>2</v>
      </c>
      <c r="F769" t="s">
        <v>19</v>
      </c>
      <c r="G769" t="s">
        <v>21</v>
      </c>
      <c r="H769" t="s">
        <v>15</v>
      </c>
      <c r="I769">
        <v>2</v>
      </c>
      <c r="J769" t="s">
        <v>22</v>
      </c>
      <c r="K769" t="s">
        <v>32</v>
      </c>
      <c r="L769">
        <v>57</v>
      </c>
      <c r="M769" t="str">
        <f t="shared" si="11"/>
        <v>Old</v>
      </c>
      <c r="N769" t="s">
        <v>15</v>
      </c>
    </row>
    <row r="770" spans="1:14" x14ac:dyDescent="0.25">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25">
      <c r="A771">
        <v>18952</v>
      </c>
      <c r="B771" t="s">
        <v>36</v>
      </c>
      <c r="C771" t="s">
        <v>38</v>
      </c>
      <c r="D771" s="3">
        <v>100000</v>
      </c>
      <c r="E771">
        <v>4</v>
      </c>
      <c r="F771" t="s">
        <v>13</v>
      </c>
      <c r="G771" t="s">
        <v>28</v>
      </c>
      <c r="H771" t="s">
        <v>15</v>
      </c>
      <c r="I771">
        <v>4</v>
      </c>
      <c r="J771" t="s">
        <v>16</v>
      </c>
      <c r="K771" t="s">
        <v>32</v>
      </c>
      <c r="L771">
        <v>40</v>
      </c>
      <c r="M771" t="str">
        <f t="shared" ref="M771:M834" si="12">IF(L771&gt;54,"Old",IF(L771&gt;=31,"Middle Age",IF(L771&lt;31,"Adolescent","Invalid")))</f>
        <v>Middle Age</v>
      </c>
      <c r="N771" t="s">
        <v>18</v>
      </c>
    </row>
    <row r="772" spans="1:14" x14ac:dyDescent="0.25">
      <c r="A772">
        <v>17699</v>
      </c>
      <c r="B772" t="s">
        <v>36</v>
      </c>
      <c r="C772" t="s">
        <v>39</v>
      </c>
      <c r="D772" s="3">
        <v>60000</v>
      </c>
      <c r="E772">
        <v>1</v>
      </c>
      <c r="F772" t="s">
        <v>31</v>
      </c>
      <c r="G772" t="s">
        <v>14</v>
      </c>
      <c r="H772" t="s">
        <v>18</v>
      </c>
      <c r="I772">
        <v>0</v>
      </c>
      <c r="J772" t="s">
        <v>16</v>
      </c>
      <c r="K772" t="s">
        <v>32</v>
      </c>
      <c r="L772">
        <v>55</v>
      </c>
      <c r="M772" t="str">
        <f t="shared" si="12"/>
        <v>Old</v>
      </c>
      <c r="N772" t="s">
        <v>18</v>
      </c>
    </row>
    <row r="773" spans="1:14" x14ac:dyDescent="0.25">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25">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25">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25">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25">
      <c r="A777">
        <v>29030</v>
      </c>
      <c r="B777" t="s">
        <v>36</v>
      </c>
      <c r="C777" t="s">
        <v>39</v>
      </c>
      <c r="D777" s="3">
        <v>70000</v>
      </c>
      <c r="E777">
        <v>2</v>
      </c>
      <c r="F777" t="s">
        <v>29</v>
      </c>
      <c r="G777" t="s">
        <v>14</v>
      </c>
      <c r="H777" t="s">
        <v>15</v>
      </c>
      <c r="I777">
        <v>2</v>
      </c>
      <c r="J777" t="s">
        <v>40</v>
      </c>
      <c r="K777" t="s">
        <v>32</v>
      </c>
      <c r="L777">
        <v>54</v>
      </c>
      <c r="M777" t="str">
        <f t="shared" si="12"/>
        <v>Middle Age</v>
      </c>
      <c r="N777" t="s">
        <v>18</v>
      </c>
    </row>
    <row r="778" spans="1:14" x14ac:dyDescent="0.25">
      <c r="A778">
        <v>26490</v>
      </c>
      <c r="B778" t="s">
        <v>37</v>
      </c>
      <c r="C778" t="s">
        <v>39</v>
      </c>
      <c r="D778" s="3">
        <v>70000</v>
      </c>
      <c r="E778">
        <v>2</v>
      </c>
      <c r="F778" t="s">
        <v>13</v>
      </c>
      <c r="G778" t="s">
        <v>28</v>
      </c>
      <c r="H778" t="s">
        <v>18</v>
      </c>
      <c r="I778">
        <v>1</v>
      </c>
      <c r="J778" t="s">
        <v>22</v>
      </c>
      <c r="K778" t="s">
        <v>32</v>
      </c>
      <c r="L778">
        <v>59</v>
      </c>
      <c r="M778" t="str">
        <f t="shared" si="12"/>
        <v>Old</v>
      </c>
      <c r="N778" t="s">
        <v>15</v>
      </c>
    </row>
    <row r="779" spans="1:14" x14ac:dyDescent="0.25">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25">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25">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25">
      <c r="A782">
        <v>18105</v>
      </c>
      <c r="B782" t="s">
        <v>36</v>
      </c>
      <c r="C782" t="s">
        <v>38</v>
      </c>
      <c r="D782" s="3">
        <v>60000</v>
      </c>
      <c r="E782">
        <v>2</v>
      </c>
      <c r="F782" t="s">
        <v>19</v>
      </c>
      <c r="G782" t="s">
        <v>21</v>
      </c>
      <c r="H782" t="s">
        <v>15</v>
      </c>
      <c r="I782">
        <v>1</v>
      </c>
      <c r="J782" t="s">
        <v>40</v>
      </c>
      <c r="K782" t="s">
        <v>32</v>
      </c>
      <c r="L782">
        <v>55</v>
      </c>
      <c r="M782" t="str">
        <f t="shared" si="12"/>
        <v>Old</v>
      </c>
      <c r="N782" t="s">
        <v>18</v>
      </c>
    </row>
    <row r="783" spans="1:14" x14ac:dyDescent="0.25">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25">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25">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25">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25">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25">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25">
      <c r="A789">
        <v>28031</v>
      </c>
      <c r="B789" t="s">
        <v>37</v>
      </c>
      <c r="C789" t="s">
        <v>38</v>
      </c>
      <c r="D789" s="3">
        <v>70000</v>
      </c>
      <c r="E789">
        <v>2</v>
      </c>
      <c r="F789" t="s">
        <v>13</v>
      </c>
      <c r="G789" t="s">
        <v>28</v>
      </c>
      <c r="H789" t="s">
        <v>18</v>
      </c>
      <c r="I789">
        <v>1</v>
      </c>
      <c r="J789" t="s">
        <v>22</v>
      </c>
      <c r="K789" t="s">
        <v>32</v>
      </c>
      <c r="L789">
        <v>59</v>
      </c>
      <c r="M789" t="str">
        <f t="shared" si="12"/>
        <v>Old</v>
      </c>
      <c r="N789" t="s">
        <v>15</v>
      </c>
    </row>
    <row r="790" spans="1:14" x14ac:dyDescent="0.25">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25">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25">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25">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25">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25">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25">
      <c r="A796">
        <v>20361</v>
      </c>
      <c r="B796" t="s">
        <v>36</v>
      </c>
      <c r="C796" t="s">
        <v>39</v>
      </c>
      <c r="D796" s="3">
        <v>50000</v>
      </c>
      <c r="E796">
        <v>2</v>
      </c>
      <c r="F796" t="s">
        <v>31</v>
      </c>
      <c r="G796" t="s">
        <v>28</v>
      </c>
      <c r="H796" t="s">
        <v>15</v>
      </c>
      <c r="I796">
        <v>2</v>
      </c>
      <c r="J796" t="s">
        <v>23</v>
      </c>
      <c r="K796" t="s">
        <v>32</v>
      </c>
      <c r="L796">
        <v>69</v>
      </c>
      <c r="M796" t="str">
        <f t="shared" si="12"/>
        <v>Old</v>
      </c>
      <c r="N796" t="s">
        <v>18</v>
      </c>
    </row>
    <row r="797" spans="1:14" x14ac:dyDescent="0.25">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25">
      <c r="A798">
        <v>13382</v>
      </c>
      <c r="B798" t="s">
        <v>36</v>
      </c>
      <c r="C798" t="s">
        <v>39</v>
      </c>
      <c r="D798" s="3">
        <v>70000</v>
      </c>
      <c r="E798">
        <v>5</v>
      </c>
      <c r="F798" t="s">
        <v>19</v>
      </c>
      <c r="G798" t="s">
        <v>21</v>
      </c>
      <c r="H798" t="s">
        <v>15</v>
      </c>
      <c r="I798">
        <v>2</v>
      </c>
      <c r="J798" t="s">
        <v>26</v>
      </c>
      <c r="K798" t="s">
        <v>32</v>
      </c>
      <c r="L798">
        <v>57</v>
      </c>
      <c r="M798" t="str">
        <f t="shared" si="12"/>
        <v>Old</v>
      </c>
      <c r="N798" t="s">
        <v>15</v>
      </c>
    </row>
    <row r="799" spans="1:14" x14ac:dyDescent="0.25">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25">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25">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25">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25">
      <c r="A803">
        <v>11255</v>
      </c>
      <c r="B803" t="s">
        <v>36</v>
      </c>
      <c r="C803" t="s">
        <v>39</v>
      </c>
      <c r="D803" s="3">
        <v>70000</v>
      </c>
      <c r="E803">
        <v>4</v>
      </c>
      <c r="F803" t="s">
        <v>31</v>
      </c>
      <c r="G803" t="s">
        <v>28</v>
      </c>
      <c r="H803" t="s">
        <v>15</v>
      </c>
      <c r="I803">
        <v>2</v>
      </c>
      <c r="J803" t="s">
        <v>23</v>
      </c>
      <c r="K803" t="s">
        <v>32</v>
      </c>
      <c r="L803">
        <v>73</v>
      </c>
      <c r="M803" t="str">
        <f t="shared" si="12"/>
        <v>Old</v>
      </c>
      <c r="N803" t="s">
        <v>18</v>
      </c>
    </row>
    <row r="804" spans="1:14" x14ac:dyDescent="0.25">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25">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25">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25">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25">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25">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25">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25">
      <c r="A811">
        <v>27994</v>
      </c>
      <c r="B811" t="s">
        <v>36</v>
      </c>
      <c r="C811" t="s">
        <v>38</v>
      </c>
      <c r="D811" s="3">
        <v>40000</v>
      </c>
      <c r="E811">
        <v>4</v>
      </c>
      <c r="F811" t="s">
        <v>27</v>
      </c>
      <c r="G811" t="s">
        <v>21</v>
      </c>
      <c r="H811" t="s">
        <v>15</v>
      </c>
      <c r="I811">
        <v>2</v>
      </c>
      <c r="J811" t="s">
        <v>23</v>
      </c>
      <c r="K811" t="s">
        <v>32</v>
      </c>
      <c r="L811">
        <v>69</v>
      </c>
      <c r="M811" t="str">
        <f t="shared" si="12"/>
        <v>Old</v>
      </c>
      <c r="N811" t="s">
        <v>18</v>
      </c>
    </row>
    <row r="812" spans="1:14" x14ac:dyDescent="0.25">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25">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25">
      <c r="A814">
        <v>15749</v>
      </c>
      <c r="B814" t="s">
        <v>37</v>
      </c>
      <c r="C814" t="s">
        <v>38</v>
      </c>
      <c r="D814" s="3">
        <v>70000</v>
      </c>
      <c r="E814">
        <v>4</v>
      </c>
      <c r="F814" t="s">
        <v>13</v>
      </c>
      <c r="G814" t="s">
        <v>28</v>
      </c>
      <c r="H814" t="s">
        <v>15</v>
      </c>
      <c r="I814">
        <v>2</v>
      </c>
      <c r="J814" t="s">
        <v>40</v>
      </c>
      <c r="K814" t="s">
        <v>32</v>
      </c>
      <c r="L814">
        <v>61</v>
      </c>
      <c r="M814" t="str">
        <f t="shared" si="12"/>
        <v>Old</v>
      </c>
      <c r="N814" t="s">
        <v>18</v>
      </c>
    </row>
    <row r="815" spans="1:14" x14ac:dyDescent="0.25">
      <c r="A815">
        <v>25899</v>
      </c>
      <c r="B815" t="s">
        <v>36</v>
      </c>
      <c r="C815" t="s">
        <v>38</v>
      </c>
      <c r="D815" s="3">
        <v>70000</v>
      </c>
      <c r="E815">
        <v>2</v>
      </c>
      <c r="F815" t="s">
        <v>27</v>
      </c>
      <c r="G815" t="s">
        <v>21</v>
      </c>
      <c r="H815" t="s">
        <v>15</v>
      </c>
      <c r="I815">
        <v>2</v>
      </c>
      <c r="J815" t="s">
        <v>40</v>
      </c>
      <c r="K815" t="s">
        <v>32</v>
      </c>
      <c r="L815">
        <v>53</v>
      </c>
      <c r="M815" t="str">
        <f t="shared" si="12"/>
        <v>Middle Age</v>
      </c>
      <c r="N815" t="s">
        <v>18</v>
      </c>
    </row>
    <row r="816" spans="1:14" x14ac:dyDescent="0.25">
      <c r="A816">
        <v>13351</v>
      </c>
      <c r="B816" t="s">
        <v>37</v>
      </c>
      <c r="C816" t="s">
        <v>38</v>
      </c>
      <c r="D816" s="3">
        <v>70000</v>
      </c>
      <c r="E816">
        <v>4</v>
      </c>
      <c r="F816" t="s">
        <v>13</v>
      </c>
      <c r="G816" t="s">
        <v>28</v>
      </c>
      <c r="H816" t="s">
        <v>15</v>
      </c>
      <c r="I816">
        <v>2</v>
      </c>
      <c r="J816" t="s">
        <v>26</v>
      </c>
      <c r="K816" t="s">
        <v>32</v>
      </c>
      <c r="L816">
        <v>62</v>
      </c>
      <c r="M816" t="str">
        <f t="shared" si="12"/>
        <v>Old</v>
      </c>
      <c r="N816" t="s">
        <v>15</v>
      </c>
    </row>
    <row r="817" spans="1:14" x14ac:dyDescent="0.25">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25">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25">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25">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25">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25">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25">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25">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25">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25">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25">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25">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25">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25">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25">
      <c r="A831">
        <v>16009</v>
      </c>
      <c r="B831" t="s">
        <v>37</v>
      </c>
      <c r="C831" t="s">
        <v>39</v>
      </c>
      <c r="D831" s="3">
        <v>170000</v>
      </c>
      <c r="E831">
        <v>1</v>
      </c>
      <c r="F831" t="s">
        <v>31</v>
      </c>
      <c r="G831" t="s">
        <v>28</v>
      </c>
      <c r="H831" t="s">
        <v>18</v>
      </c>
      <c r="I831">
        <v>4</v>
      </c>
      <c r="J831" t="s">
        <v>16</v>
      </c>
      <c r="K831" t="s">
        <v>32</v>
      </c>
      <c r="L831">
        <v>66</v>
      </c>
      <c r="M831" t="str">
        <f t="shared" si="12"/>
        <v>Old</v>
      </c>
      <c r="N831" t="s">
        <v>18</v>
      </c>
    </row>
    <row r="832" spans="1:14" x14ac:dyDescent="0.25">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25">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25">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25">
      <c r="A835">
        <v>27540</v>
      </c>
      <c r="B835" t="s">
        <v>37</v>
      </c>
      <c r="C835" t="s">
        <v>38</v>
      </c>
      <c r="D835" s="3">
        <v>70000</v>
      </c>
      <c r="E835">
        <v>0</v>
      </c>
      <c r="F835" t="s">
        <v>13</v>
      </c>
      <c r="G835" t="s">
        <v>21</v>
      </c>
      <c r="H835" t="s">
        <v>18</v>
      </c>
      <c r="I835">
        <v>1</v>
      </c>
      <c r="J835" t="s">
        <v>16</v>
      </c>
      <c r="K835" t="s">
        <v>32</v>
      </c>
      <c r="L835">
        <v>37</v>
      </c>
      <c r="M835" t="str">
        <f t="shared" ref="M835:M898" si="13">IF(L835&gt;54,"Old",IF(L835&gt;=31,"Middle Age",IF(L835&lt;31,"Adolescent","Invalid")))</f>
        <v>Middle Age</v>
      </c>
      <c r="N835" t="s">
        <v>15</v>
      </c>
    </row>
    <row r="836" spans="1:14" x14ac:dyDescent="0.25">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25">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25">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25">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25">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25">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25">
      <c r="A842">
        <v>11233</v>
      </c>
      <c r="B842" t="s">
        <v>36</v>
      </c>
      <c r="C842" t="s">
        <v>39</v>
      </c>
      <c r="D842" s="3">
        <v>70000</v>
      </c>
      <c r="E842">
        <v>4</v>
      </c>
      <c r="F842" t="s">
        <v>19</v>
      </c>
      <c r="G842" t="s">
        <v>21</v>
      </c>
      <c r="H842" t="s">
        <v>15</v>
      </c>
      <c r="I842">
        <v>2</v>
      </c>
      <c r="J842" t="s">
        <v>40</v>
      </c>
      <c r="K842" t="s">
        <v>32</v>
      </c>
      <c r="L842">
        <v>53</v>
      </c>
      <c r="M842" t="str">
        <f t="shared" si="13"/>
        <v>Middle Age</v>
      </c>
      <c r="N842" t="s">
        <v>18</v>
      </c>
    </row>
    <row r="843" spans="1:14" x14ac:dyDescent="0.25">
      <c r="A843">
        <v>12056</v>
      </c>
      <c r="B843" t="s">
        <v>36</v>
      </c>
      <c r="C843" t="s">
        <v>39</v>
      </c>
      <c r="D843" s="3">
        <v>120000</v>
      </c>
      <c r="E843">
        <v>2</v>
      </c>
      <c r="F843" t="s">
        <v>31</v>
      </c>
      <c r="G843" t="s">
        <v>28</v>
      </c>
      <c r="H843" t="s">
        <v>15</v>
      </c>
      <c r="I843">
        <v>3</v>
      </c>
      <c r="J843" t="s">
        <v>23</v>
      </c>
      <c r="K843" t="s">
        <v>32</v>
      </c>
      <c r="L843">
        <v>64</v>
      </c>
      <c r="M843" t="str">
        <f t="shared" si="13"/>
        <v>Old</v>
      </c>
      <c r="N843" t="s">
        <v>18</v>
      </c>
    </row>
    <row r="844" spans="1:14" x14ac:dyDescent="0.25">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25">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25">
      <c r="A846">
        <v>22743</v>
      </c>
      <c r="B846" t="s">
        <v>36</v>
      </c>
      <c r="C846" t="s">
        <v>38</v>
      </c>
      <c r="D846" s="3">
        <v>40000</v>
      </c>
      <c r="E846">
        <v>5</v>
      </c>
      <c r="F846" t="s">
        <v>27</v>
      </c>
      <c r="G846" t="s">
        <v>21</v>
      </c>
      <c r="H846" t="s">
        <v>15</v>
      </c>
      <c r="I846">
        <v>2</v>
      </c>
      <c r="J846" t="s">
        <v>40</v>
      </c>
      <c r="K846" t="s">
        <v>32</v>
      </c>
      <c r="L846">
        <v>60</v>
      </c>
      <c r="M846" t="str">
        <f t="shared" si="13"/>
        <v>Old</v>
      </c>
      <c r="N846" t="s">
        <v>18</v>
      </c>
    </row>
    <row r="847" spans="1:14" x14ac:dyDescent="0.25">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25">
      <c r="A848">
        <v>13390</v>
      </c>
      <c r="B848" t="s">
        <v>36</v>
      </c>
      <c r="C848" t="s">
        <v>38</v>
      </c>
      <c r="D848" s="3">
        <v>70000</v>
      </c>
      <c r="E848">
        <v>4</v>
      </c>
      <c r="F848" t="s">
        <v>19</v>
      </c>
      <c r="G848" t="s">
        <v>21</v>
      </c>
      <c r="H848" t="s">
        <v>18</v>
      </c>
      <c r="I848">
        <v>1</v>
      </c>
      <c r="J848" t="s">
        <v>26</v>
      </c>
      <c r="K848" t="s">
        <v>32</v>
      </c>
      <c r="L848">
        <v>56</v>
      </c>
      <c r="M848" t="str">
        <f t="shared" si="13"/>
        <v>Old</v>
      </c>
      <c r="N848" t="s">
        <v>18</v>
      </c>
    </row>
    <row r="849" spans="1:14" x14ac:dyDescent="0.25">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25">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25">
      <c r="A851">
        <v>20504</v>
      </c>
      <c r="B851" t="s">
        <v>36</v>
      </c>
      <c r="C851" t="s">
        <v>38</v>
      </c>
      <c r="D851" s="3">
        <v>40000</v>
      </c>
      <c r="E851">
        <v>5</v>
      </c>
      <c r="F851" t="s">
        <v>27</v>
      </c>
      <c r="G851" t="s">
        <v>21</v>
      </c>
      <c r="H851" t="s">
        <v>18</v>
      </c>
      <c r="I851">
        <v>2</v>
      </c>
      <c r="J851" t="s">
        <v>22</v>
      </c>
      <c r="K851" t="s">
        <v>32</v>
      </c>
      <c r="L851">
        <v>60</v>
      </c>
      <c r="M851" t="str">
        <f t="shared" si="13"/>
        <v>Old</v>
      </c>
      <c r="N851" t="s">
        <v>18</v>
      </c>
    </row>
    <row r="852" spans="1:14" x14ac:dyDescent="0.25">
      <c r="A852">
        <v>12205</v>
      </c>
      <c r="B852" t="s">
        <v>37</v>
      </c>
      <c r="C852" t="s">
        <v>38</v>
      </c>
      <c r="D852" s="3">
        <v>130000</v>
      </c>
      <c r="E852">
        <v>2</v>
      </c>
      <c r="F852" t="s">
        <v>13</v>
      </c>
      <c r="G852" t="s">
        <v>28</v>
      </c>
      <c r="H852" t="s">
        <v>18</v>
      </c>
      <c r="I852">
        <v>4</v>
      </c>
      <c r="J852" t="s">
        <v>16</v>
      </c>
      <c r="K852" t="s">
        <v>32</v>
      </c>
      <c r="L852">
        <v>67</v>
      </c>
      <c r="M852" t="str">
        <f t="shared" si="13"/>
        <v>Old</v>
      </c>
      <c r="N852" t="s">
        <v>18</v>
      </c>
    </row>
    <row r="853" spans="1:14" x14ac:dyDescent="0.25">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25">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25">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25">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25">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25">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25">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25">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25">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25">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25">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25">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25">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25">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25">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25">
      <c r="A868">
        <v>28052</v>
      </c>
      <c r="B868" t="s">
        <v>36</v>
      </c>
      <c r="C868" t="s">
        <v>39</v>
      </c>
      <c r="D868" s="3">
        <v>60000</v>
      </c>
      <c r="E868">
        <v>2</v>
      </c>
      <c r="F868" t="s">
        <v>27</v>
      </c>
      <c r="G868" t="s">
        <v>21</v>
      </c>
      <c r="H868" t="s">
        <v>15</v>
      </c>
      <c r="I868">
        <v>2</v>
      </c>
      <c r="J868" t="s">
        <v>40</v>
      </c>
      <c r="K868" t="s">
        <v>32</v>
      </c>
      <c r="L868">
        <v>55</v>
      </c>
      <c r="M868" t="str">
        <f t="shared" si="13"/>
        <v>Old</v>
      </c>
      <c r="N868" t="s">
        <v>18</v>
      </c>
    </row>
    <row r="869" spans="1:14" x14ac:dyDescent="0.25">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25">
      <c r="A870">
        <v>24955</v>
      </c>
      <c r="B870" t="s">
        <v>37</v>
      </c>
      <c r="C870" t="s">
        <v>39</v>
      </c>
      <c r="D870" s="3">
        <v>30000</v>
      </c>
      <c r="E870">
        <v>5</v>
      </c>
      <c r="F870" t="s">
        <v>29</v>
      </c>
      <c r="G870" t="s">
        <v>14</v>
      </c>
      <c r="H870" t="s">
        <v>15</v>
      </c>
      <c r="I870">
        <v>3</v>
      </c>
      <c r="J870" t="s">
        <v>40</v>
      </c>
      <c r="K870" t="s">
        <v>32</v>
      </c>
      <c r="L870">
        <v>60</v>
      </c>
      <c r="M870" t="str">
        <f t="shared" si="13"/>
        <v>Old</v>
      </c>
      <c r="N870" t="s">
        <v>15</v>
      </c>
    </row>
    <row r="871" spans="1:14" x14ac:dyDescent="0.25">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25">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25">
      <c r="A873">
        <v>11219</v>
      </c>
      <c r="B873" t="s">
        <v>36</v>
      </c>
      <c r="C873" t="s">
        <v>39</v>
      </c>
      <c r="D873" s="3">
        <v>60000</v>
      </c>
      <c r="E873">
        <v>2</v>
      </c>
      <c r="F873" t="s">
        <v>27</v>
      </c>
      <c r="G873" t="s">
        <v>21</v>
      </c>
      <c r="H873" t="s">
        <v>15</v>
      </c>
      <c r="I873">
        <v>2</v>
      </c>
      <c r="J873" t="s">
        <v>40</v>
      </c>
      <c r="K873" t="s">
        <v>32</v>
      </c>
      <c r="L873">
        <v>55</v>
      </c>
      <c r="M873" t="str">
        <f t="shared" si="13"/>
        <v>Old</v>
      </c>
      <c r="N873" t="s">
        <v>18</v>
      </c>
    </row>
    <row r="874" spans="1:14" x14ac:dyDescent="0.25">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25">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25">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25">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25">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25">
      <c r="A879">
        <v>15879</v>
      </c>
      <c r="B879" t="s">
        <v>36</v>
      </c>
      <c r="C879" t="s">
        <v>39</v>
      </c>
      <c r="D879" s="3">
        <v>70000</v>
      </c>
      <c r="E879">
        <v>5</v>
      </c>
      <c r="F879" t="s">
        <v>13</v>
      </c>
      <c r="G879" t="s">
        <v>28</v>
      </c>
      <c r="H879" t="s">
        <v>15</v>
      </c>
      <c r="I879">
        <v>2</v>
      </c>
      <c r="J879" t="s">
        <v>22</v>
      </c>
      <c r="K879" t="s">
        <v>32</v>
      </c>
      <c r="L879">
        <v>61</v>
      </c>
      <c r="M879" t="str">
        <f t="shared" si="13"/>
        <v>Old</v>
      </c>
      <c r="N879" t="s">
        <v>18</v>
      </c>
    </row>
    <row r="880" spans="1:14" x14ac:dyDescent="0.25">
      <c r="A880">
        <v>28278</v>
      </c>
      <c r="B880" t="s">
        <v>36</v>
      </c>
      <c r="C880" t="s">
        <v>39</v>
      </c>
      <c r="D880" s="3">
        <v>50000</v>
      </c>
      <c r="E880">
        <v>2</v>
      </c>
      <c r="F880" t="s">
        <v>31</v>
      </c>
      <c r="G880" t="s">
        <v>28</v>
      </c>
      <c r="H880" t="s">
        <v>15</v>
      </c>
      <c r="I880">
        <v>2</v>
      </c>
      <c r="J880" t="s">
        <v>23</v>
      </c>
      <c r="K880" t="s">
        <v>32</v>
      </c>
      <c r="L880">
        <v>71</v>
      </c>
      <c r="M880" t="str">
        <f t="shared" si="13"/>
        <v>Old</v>
      </c>
      <c r="N880" t="s">
        <v>18</v>
      </c>
    </row>
    <row r="881" spans="1:14" x14ac:dyDescent="0.25">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25">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25">
      <c r="A883">
        <v>11275</v>
      </c>
      <c r="B883" t="s">
        <v>36</v>
      </c>
      <c r="C883" t="s">
        <v>38</v>
      </c>
      <c r="D883" s="3">
        <v>80000</v>
      </c>
      <c r="E883">
        <v>4</v>
      </c>
      <c r="F883" t="s">
        <v>31</v>
      </c>
      <c r="G883" t="s">
        <v>28</v>
      </c>
      <c r="H883" t="s">
        <v>15</v>
      </c>
      <c r="I883">
        <v>2</v>
      </c>
      <c r="J883" t="s">
        <v>16</v>
      </c>
      <c r="K883" t="s">
        <v>32</v>
      </c>
      <c r="L883">
        <v>72</v>
      </c>
      <c r="M883" t="str">
        <f t="shared" si="13"/>
        <v>Old</v>
      </c>
      <c r="N883" t="s">
        <v>15</v>
      </c>
    </row>
    <row r="884" spans="1:14" x14ac:dyDescent="0.25">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25">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25">
      <c r="A886">
        <v>19731</v>
      </c>
      <c r="B886" t="s">
        <v>36</v>
      </c>
      <c r="C886" t="s">
        <v>39</v>
      </c>
      <c r="D886" s="3">
        <v>80000</v>
      </c>
      <c r="E886">
        <v>4</v>
      </c>
      <c r="F886" t="s">
        <v>31</v>
      </c>
      <c r="G886" t="s">
        <v>28</v>
      </c>
      <c r="H886" t="s">
        <v>15</v>
      </c>
      <c r="I886">
        <v>2</v>
      </c>
      <c r="J886" t="s">
        <v>23</v>
      </c>
      <c r="K886" t="s">
        <v>32</v>
      </c>
      <c r="L886">
        <v>68</v>
      </c>
      <c r="M886" t="str">
        <f t="shared" si="13"/>
        <v>Old</v>
      </c>
      <c r="N886" t="s">
        <v>18</v>
      </c>
    </row>
    <row r="887" spans="1:14" x14ac:dyDescent="0.25">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25">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25">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25">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25">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25">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25">
      <c r="A893">
        <v>13415</v>
      </c>
      <c r="B893" t="s">
        <v>37</v>
      </c>
      <c r="C893" t="s">
        <v>39</v>
      </c>
      <c r="D893" s="3">
        <v>100000</v>
      </c>
      <c r="E893">
        <v>1</v>
      </c>
      <c r="F893" t="s">
        <v>31</v>
      </c>
      <c r="G893" t="s">
        <v>28</v>
      </c>
      <c r="H893" t="s">
        <v>15</v>
      </c>
      <c r="I893">
        <v>3</v>
      </c>
      <c r="J893" t="s">
        <v>22</v>
      </c>
      <c r="K893" t="s">
        <v>32</v>
      </c>
      <c r="L893">
        <v>73</v>
      </c>
      <c r="M893" t="str">
        <f t="shared" si="13"/>
        <v>Old</v>
      </c>
      <c r="N893" t="s">
        <v>15</v>
      </c>
    </row>
    <row r="894" spans="1:14" x14ac:dyDescent="0.25">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25">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25">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25">
      <c r="A897">
        <v>20401</v>
      </c>
      <c r="B897" t="s">
        <v>36</v>
      </c>
      <c r="C897" t="s">
        <v>38</v>
      </c>
      <c r="D897" s="3">
        <v>50000</v>
      </c>
      <c r="E897">
        <v>4</v>
      </c>
      <c r="F897" t="s">
        <v>13</v>
      </c>
      <c r="G897" t="s">
        <v>28</v>
      </c>
      <c r="H897" t="s">
        <v>15</v>
      </c>
      <c r="I897">
        <v>2</v>
      </c>
      <c r="J897" t="s">
        <v>26</v>
      </c>
      <c r="K897" t="s">
        <v>32</v>
      </c>
      <c r="L897">
        <v>64</v>
      </c>
      <c r="M897" t="str">
        <f t="shared" si="13"/>
        <v>Old</v>
      </c>
      <c r="N897" t="s">
        <v>15</v>
      </c>
    </row>
    <row r="898" spans="1:14" x14ac:dyDescent="0.25">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25">
      <c r="A899">
        <v>12029</v>
      </c>
      <c r="B899" t="s">
        <v>36</v>
      </c>
      <c r="C899" t="s">
        <v>39</v>
      </c>
      <c r="D899" s="3">
        <v>30000</v>
      </c>
      <c r="E899">
        <v>0</v>
      </c>
      <c r="F899" t="s">
        <v>29</v>
      </c>
      <c r="G899" t="s">
        <v>20</v>
      </c>
      <c r="H899" t="s">
        <v>18</v>
      </c>
      <c r="I899">
        <v>2</v>
      </c>
      <c r="J899" t="s">
        <v>16</v>
      </c>
      <c r="K899" t="s">
        <v>32</v>
      </c>
      <c r="L899">
        <v>28</v>
      </c>
      <c r="M899" t="str">
        <f t="shared" ref="M899:M962" si="14">IF(L899&gt;54,"Old",IF(L899&gt;=31,"Middle Age",IF(L899&lt;31,"Adolescent","Invalid")))</f>
        <v>Adolescent</v>
      </c>
      <c r="N899" t="s">
        <v>18</v>
      </c>
    </row>
    <row r="900" spans="1:14" x14ac:dyDescent="0.25">
      <c r="A900">
        <v>18066</v>
      </c>
      <c r="B900" t="s">
        <v>37</v>
      </c>
      <c r="C900" t="s">
        <v>39</v>
      </c>
      <c r="D900" s="3">
        <v>70000</v>
      </c>
      <c r="E900">
        <v>5</v>
      </c>
      <c r="F900" t="s">
        <v>13</v>
      </c>
      <c r="G900" t="s">
        <v>28</v>
      </c>
      <c r="H900" t="s">
        <v>15</v>
      </c>
      <c r="I900">
        <v>3</v>
      </c>
      <c r="J900" t="s">
        <v>40</v>
      </c>
      <c r="K900" t="s">
        <v>32</v>
      </c>
      <c r="L900">
        <v>60</v>
      </c>
      <c r="M900" t="str">
        <f t="shared" si="14"/>
        <v>Old</v>
      </c>
      <c r="N900" t="s">
        <v>15</v>
      </c>
    </row>
    <row r="901" spans="1:14" x14ac:dyDescent="0.25">
      <c r="A901">
        <v>28192</v>
      </c>
      <c r="B901" t="s">
        <v>36</v>
      </c>
      <c r="C901" t="s">
        <v>38</v>
      </c>
      <c r="D901" s="3">
        <v>70000</v>
      </c>
      <c r="E901">
        <v>5</v>
      </c>
      <c r="F901" t="s">
        <v>31</v>
      </c>
      <c r="G901" t="s">
        <v>21</v>
      </c>
      <c r="H901" t="s">
        <v>15</v>
      </c>
      <c r="I901">
        <v>3</v>
      </c>
      <c r="J901" t="s">
        <v>40</v>
      </c>
      <c r="K901" t="s">
        <v>32</v>
      </c>
      <c r="L901">
        <v>46</v>
      </c>
      <c r="M901" t="str">
        <f t="shared" si="14"/>
        <v>Middle Age</v>
      </c>
      <c r="N901" t="s">
        <v>18</v>
      </c>
    </row>
    <row r="902" spans="1:14" x14ac:dyDescent="0.25">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25">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25">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25">
      <c r="A905">
        <v>14432</v>
      </c>
      <c r="B905" t="s">
        <v>37</v>
      </c>
      <c r="C905" t="s">
        <v>39</v>
      </c>
      <c r="D905" s="3">
        <v>90000</v>
      </c>
      <c r="E905">
        <v>4</v>
      </c>
      <c r="F905" t="s">
        <v>31</v>
      </c>
      <c r="G905" t="s">
        <v>28</v>
      </c>
      <c r="H905" t="s">
        <v>15</v>
      </c>
      <c r="I905">
        <v>1</v>
      </c>
      <c r="J905" t="s">
        <v>23</v>
      </c>
      <c r="K905" t="s">
        <v>32</v>
      </c>
      <c r="L905">
        <v>73</v>
      </c>
      <c r="M905" t="str">
        <f t="shared" si="14"/>
        <v>Old</v>
      </c>
      <c r="N905" t="s">
        <v>18</v>
      </c>
    </row>
    <row r="906" spans="1:14" x14ac:dyDescent="0.25">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25">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25">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25">
      <c r="A909">
        <v>19747</v>
      </c>
      <c r="B909" t="s">
        <v>36</v>
      </c>
      <c r="C909" t="s">
        <v>39</v>
      </c>
      <c r="D909" s="3">
        <v>50000</v>
      </c>
      <c r="E909">
        <v>4</v>
      </c>
      <c r="F909" t="s">
        <v>13</v>
      </c>
      <c r="G909" t="s">
        <v>28</v>
      </c>
      <c r="H909" t="s">
        <v>15</v>
      </c>
      <c r="I909">
        <v>2</v>
      </c>
      <c r="J909" t="s">
        <v>40</v>
      </c>
      <c r="K909" t="s">
        <v>32</v>
      </c>
      <c r="L909">
        <v>63</v>
      </c>
      <c r="M909" t="str">
        <f t="shared" si="14"/>
        <v>Old</v>
      </c>
      <c r="N909" t="s">
        <v>18</v>
      </c>
    </row>
    <row r="910" spans="1:14" x14ac:dyDescent="0.25">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25">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25">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25">
      <c r="A913">
        <v>13337</v>
      </c>
      <c r="B913" t="s">
        <v>36</v>
      </c>
      <c r="C913" t="s">
        <v>38</v>
      </c>
      <c r="D913" s="3">
        <v>80000</v>
      </c>
      <c r="E913">
        <v>5</v>
      </c>
      <c r="F913" t="s">
        <v>13</v>
      </c>
      <c r="G913" t="s">
        <v>28</v>
      </c>
      <c r="H913" t="s">
        <v>15</v>
      </c>
      <c r="I913">
        <v>2</v>
      </c>
      <c r="J913" t="s">
        <v>23</v>
      </c>
      <c r="K913" t="s">
        <v>32</v>
      </c>
      <c r="L913">
        <v>64</v>
      </c>
      <c r="M913" t="str">
        <f t="shared" si="14"/>
        <v>Old</v>
      </c>
      <c r="N913" t="s">
        <v>18</v>
      </c>
    </row>
    <row r="914" spans="1:14" x14ac:dyDescent="0.25">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25">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25">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25">
      <c r="A917">
        <v>21752</v>
      </c>
      <c r="B917" t="s">
        <v>36</v>
      </c>
      <c r="C917" t="s">
        <v>39</v>
      </c>
      <c r="D917" s="3">
        <v>60000</v>
      </c>
      <c r="E917">
        <v>3</v>
      </c>
      <c r="F917" t="s">
        <v>31</v>
      </c>
      <c r="G917" t="s">
        <v>28</v>
      </c>
      <c r="H917" t="s">
        <v>15</v>
      </c>
      <c r="I917">
        <v>2</v>
      </c>
      <c r="J917" t="s">
        <v>40</v>
      </c>
      <c r="K917" t="s">
        <v>32</v>
      </c>
      <c r="L917">
        <v>64</v>
      </c>
      <c r="M917" t="str">
        <f t="shared" si="14"/>
        <v>Old</v>
      </c>
      <c r="N917" t="s">
        <v>18</v>
      </c>
    </row>
    <row r="918" spans="1:14" x14ac:dyDescent="0.25">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25">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25">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25">
      <c r="A921">
        <v>21451</v>
      </c>
      <c r="B921" t="s">
        <v>36</v>
      </c>
      <c r="C921" t="s">
        <v>38</v>
      </c>
      <c r="D921" s="3">
        <v>40000</v>
      </c>
      <c r="E921">
        <v>4</v>
      </c>
      <c r="F921" t="s">
        <v>27</v>
      </c>
      <c r="G921" t="s">
        <v>21</v>
      </c>
      <c r="H921" t="s">
        <v>15</v>
      </c>
      <c r="I921">
        <v>2</v>
      </c>
      <c r="J921" t="s">
        <v>40</v>
      </c>
      <c r="K921" t="s">
        <v>32</v>
      </c>
      <c r="L921">
        <v>61</v>
      </c>
      <c r="M921" t="str">
        <f t="shared" si="14"/>
        <v>Old</v>
      </c>
      <c r="N921" t="s">
        <v>18</v>
      </c>
    </row>
    <row r="922" spans="1:14" x14ac:dyDescent="0.25">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25">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25">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25">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25">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25">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25">
      <c r="A928">
        <v>26495</v>
      </c>
      <c r="B928" t="s">
        <v>37</v>
      </c>
      <c r="C928" t="s">
        <v>38</v>
      </c>
      <c r="D928" s="3">
        <v>40000</v>
      </c>
      <c r="E928">
        <v>2</v>
      </c>
      <c r="F928" t="s">
        <v>27</v>
      </c>
      <c r="G928" t="s">
        <v>21</v>
      </c>
      <c r="H928" t="s">
        <v>15</v>
      </c>
      <c r="I928">
        <v>2</v>
      </c>
      <c r="J928" t="s">
        <v>40</v>
      </c>
      <c r="K928" t="s">
        <v>32</v>
      </c>
      <c r="L928">
        <v>57</v>
      </c>
      <c r="M928" t="str">
        <f t="shared" si="14"/>
        <v>Old</v>
      </c>
      <c r="N928" t="s">
        <v>18</v>
      </c>
    </row>
    <row r="929" spans="1:14" x14ac:dyDescent="0.25">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25">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25">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25">
      <c r="A932">
        <v>19543</v>
      </c>
      <c r="B932" t="s">
        <v>36</v>
      </c>
      <c r="C932" t="s">
        <v>39</v>
      </c>
      <c r="D932" s="3">
        <v>70000</v>
      </c>
      <c r="E932">
        <v>5</v>
      </c>
      <c r="F932" t="s">
        <v>31</v>
      </c>
      <c r="G932" t="s">
        <v>21</v>
      </c>
      <c r="H932" t="s">
        <v>18</v>
      </c>
      <c r="I932">
        <v>3</v>
      </c>
      <c r="J932" t="s">
        <v>40</v>
      </c>
      <c r="K932" t="s">
        <v>32</v>
      </c>
      <c r="L932">
        <v>47</v>
      </c>
      <c r="M932" t="str">
        <f t="shared" si="14"/>
        <v>Middle Age</v>
      </c>
      <c r="N932" t="s">
        <v>18</v>
      </c>
    </row>
    <row r="933" spans="1:14" x14ac:dyDescent="0.25">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25">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25">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25">
      <c r="A936">
        <v>14389</v>
      </c>
      <c r="B936" t="s">
        <v>36</v>
      </c>
      <c r="C936" t="s">
        <v>39</v>
      </c>
      <c r="D936" s="3">
        <v>60000</v>
      </c>
      <c r="E936">
        <v>2</v>
      </c>
      <c r="F936" t="s">
        <v>13</v>
      </c>
      <c r="G936" t="s">
        <v>28</v>
      </c>
      <c r="H936" t="s">
        <v>15</v>
      </c>
      <c r="I936">
        <v>0</v>
      </c>
      <c r="J936" t="s">
        <v>22</v>
      </c>
      <c r="K936" t="s">
        <v>32</v>
      </c>
      <c r="L936">
        <v>59</v>
      </c>
      <c r="M936" t="str">
        <f t="shared" si="14"/>
        <v>Old</v>
      </c>
      <c r="N936" t="s">
        <v>18</v>
      </c>
    </row>
    <row r="937" spans="1:14" x14ac:dyDescent="0.25">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25">
      <c r="A938">
        <v>19856</v>
      </c>
      <c r="B938" t="s">
        <v>36</v>
      </c>
      <c r="C938" t="s">
        <v>38</v>
      </c>
      <c r="D938" s="3">
        <v>60000</v>
      </c>
      <c r="E938">
        <v>4</v>
      </c>
      <c r="F938" t="s">
        <v>13</v>
      </c>
      <c r="G938" t="s">
        <v>28</v>
      </c>
      <c r="H938" t="s">
        <v>15</v>
      </c>
      <c r="I938">
        <v>2</v>
      </c>
      <c r="J938" t="s">
        <v>22</v>
      </c>
      <c r="K938" t="s">
        <v>32</v>
      </c>
      <c r="L938">
        <v>60</v>
      </c>
      <c r="M938" t="str">
        <f t="shared" si="14"/>
        <v>Old</v>
      </c>
      <c r="N938" t="s">
        <v>18</v>
      </c>
    </row>
    <row r="939" spans="1:14" x14ac:dyDescent="0.25">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25">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25">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25">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25">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25">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25">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25">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25">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25">
      <c r="A948">
        <v>13343</v>
      </c>
      <c r="B948" t="s">
        <v>36</v>
      </c>
      <c r="C948" t="s">
        <v>38</v>
      </c>
      <c r="D948" s="3">
        <v>90000</v>
      </c>
      <c r="E948">
        <v>5</v>
      </c>
      <c r="F948" t="s">
        <v>13</v>
      </c>
      <c r="G948" t="s">
        <v>28</v>
      </c>
      <c r="H948" t="s">
        <v>15</v>
      </c>
      <c r="I948">
        <v>2</v>
      </c>
      <c r="J948" t="s">
        <v>26</v>
      </c>
      <c r="K948" t="s">
        <v>32</v>
      </c>
      <c r="L948">
        <v>63</v>
      </c>
      <c r="M948" t="str">
        <f t="shared" si="14"/>
        <v>Old</v>
      </c>
      <c r="N948" t="s">
        <v>15</v>
      </c>
    </row>
    <row r="949" spans="1:14" x14ac:dyDescent="0.25">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25">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25">
      <c r="A951">
        <v>28056</v>
      </c>
      <c r="B951" t="s">
        <v>36</v>
      </c>
      <c r="C951" t="s">
        <v>39</v>
      </c>
      <c r="D951" s="3">
        <v>70000</v>
      </c>
      <c r="E951">
        <v>2</v>
      </c>
      <c r="F951" t="s">
        <v>29</v>
      </c>
      <c r="G951" t="s">
        <v>14</v>
      </c>
      <c r="H951" t="s">
        <v>15</v>
      </c>
      <c r="I951">
        <v>2</v>
      </c>
      <c r="J951" t="s">
        <v>40</v>
      </c>
      <c r="K951" t="s">
        <v>32</v>
      </c>
      <c r="L951">
        <v>53</v>
      </c>
      <c r="M951" t="str">
        <f t="shared" si="14"/>
        <v>Middle Age</v>
      </c>
      <c r="N951" t="s">
        <v>18</v>
      </c>
    </row>
    <row r="952" spans="1:14" x14ac:dyDescent="0.25">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25">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25">
      <c r="A954">
        <v>15319</v>
      </c>
      <c r="B954" t="s">
        <v>36</v>
      </c>
      <c r="C954" t="s">
        <v>38</v>
      </c>
      <c r="D954" s="3">
        <v>70000</v>
      </c>
      <c r="E954">
        <v>4</v>
      </c>
      <c r="F954" t="s">
        <v>13</v>
      </c>
      <c r="G954" t="s">
        <v>28</v>
      </c>
      <c r="H954" t="s">
        <v>18</v>
      </c>
      <c r="I954">
        <v>1</v>
      </c>
      <c r="J954" t="s">
        <v>26</v>
      </c>
      <c r="K954" t="s">
        <v>32</v>
      </c>
      <c r="L954">
        <v>59</v>
      </c>
      <c r="M954" t="str">
        <f t="shared" si="14"/>
        <v>Old</v>
      </c>
      <c r="N954" t="s">
        <v>18</v>
      </c>
    </row>
    <row r="955" spans="1:14" x14ac:dyDescent="0.25">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25">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25">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25">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25">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25">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25">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25">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25">
      <c r="A963">
        <v>16651</v>
      </c>
      <c r="B963" t="s">
        <v>36</v>
      </c>
      <c r="C963" t="s">
        <v>38</v>
      </c>
      <c r="D963" s="3">
        <v>120000</v>
      </c>
      <c r="E963">
        <v>2</v>
      </c>
      <c r="F963" t="s">
        <v>13</v>
      </c>
      <c r="G963" t="s">
        <v>28</v>
      </c>
      <c r="H963" t="s">
        <v>15</v>
      </c>
      <c r="I963">
        <v>3</v>
      </c>
      <c r="J963" t="s">
        <v>23</v>
      </c>
      <c r="K963" t="s">
        <v>32</v>
      </c>
      <c r="L963">
        <v>62</v>
      </c>
      <c r="M963" t="str">
        <f t="shared" ref="M963:M1001" si="15">IF(L963&gt;54,"Old",IF(L963&gt;=31,"Middle Age",IF(L963&lt;31,"Adolescent","Invalid")))</f>
        <v>Old</v>
      </c>
      <c r="N963" t="s">
        <v>18</v>
      </c>
    </row>
    <row r="964" spans="1:14" x14ac:dyDescent="0.25">
      <c r="A964">
        <v>16813</v>
      </c>
      <c r="B964" t="s">
        <v>36</v>
      </c>
      <c r="C964" t="s">
        <v>39</v>
      </c>
      <c r="D964" s="3">
        <v>60000</v>
      </c>
      <c r="E964">
        <v>2</v>
      </c>
      <c r="F964" t="s">
        <v>19</v>
      </c>
      <c r="G964" t="s">
        <v>21</v>
      </c>
      <c r="H964" t="s">
        <v>15</v>
      </c>
      <c r="I964">
        <v>2</v>
      </c>
      <c r="J964" t="s">
        <v>40</v>
      </c>
      <c r="K964" t="s">
        <v>32</v>
      </c>
      <c r="L964">
        <v>55</v>
      </c>
      <c r="M964" t="str">
        <f t="shared" si="15"/>
        <v>Old</v>
      </c>
      <c r="N964" t="s">
        <v>18</v>
      </c>
    </row>
    <row r="965" spans="1:14" x14ac:dyDescent="0.25">
      <c r="A965">
        <v>16007</v>
      </c>
      <c r="B965" t="s">
        <v>36</v>
      </c>
      <c r="C965" t="s">
        <v>38</v>
      </c>
      <c r="D965" s="3">
        <v>90000</v>
      </c>
      <c r="E965">
        <v>5</v>
      </c>
      <c r="F965" t="s">
        <v>13</v>
      </c>
      <c r="G965" t="s">
        <v>28</v>
      </c>
      <c r="H965" t="s">
        <v>15</v>
      </c>
      <c r="I965">
        <v>2</v>
      </c>
      <c r="J965" t="s">
        <v>26</v>
      </c>
      <c r="K965" t="s">
        <v>32</v>
      </c>
      <c r="L965">
        <v>66</v>
      </c>
      <c r="M965" t="str">
        <f t="shared" si="15"/>
        <v>Old</v>
      </c>
      <c r="N965" t="s">
        <v>15</v>
      </c>
    </row>
    <row r="966" spans="1:14" x14ac:dyDescent="0.25">
      <c r="A966">
        <v>27434</v>
      </c>
      <c r="B966" t="s">
        <v>37</v>
      </c>
      <c r="C966" t="s">
        <v>39</v>
      </c>
      <c r="D966" s="3">
        <v>70000</v>
      </c>
      <c r="E966">
        <v>4</v>
      </c>
      <c r="F966" t="s">
        <v>19</v>
      </c>
      <c r="G966" t="s">
        <v>21</v>
      </c>
      <c r="H966" t="s">
        <v>15</v>
      </c>
      <c r="I966">
        <v>1</v>
      </c>
      <c r="J966" t="s">
        <v>40</v>
      </c>
      <c r="K966" t="s">
        <v>32</v>
      </c>
      <c r="L966">
        <v>56</v>
      </c>
      <c r="M966" t="str">
        <f t="shared" si="15"/>
        <v>Old</v>
      </c>
      <c r="N966" t="s">
        <v>18</v>
      </c>
    </row>
    <row r="967" spans="1:14" x14ac:dyDescent="0.25">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25">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25">
      <c r="A969">
        <v>19012</v>
      </c>
      <c r="B969" t="s">
        <v>36</v>
      </c>
      <c r="C969" t="s">
        <v>39</v>
      </c>
      <c r="D969" s="3">
        <v>80000</v>
      </c>
      <c r="E969">
        <v>3</v>
      </c>
      <c r="F969" t="s">
        <v>13</v>
      </c>
      <c r="G969" t="s">
        <v>28</v>
      </c>
      <c r="H969" t="s">
        <v>15</v>
      </c>
      <c r="I969">
        <v>1</v>
      </c>
      <c r="J969" t="s">
        <v>26</v>
      </c>
      <c r="K969" t="s">
        <v>32</v>
      </c>
      <c r="L969">
        <v>56</v>
      </c>
      <c r="M969" t="str">
        <f t="shared" si="15"/>
        <v>Old</v>
      </c>
      <c r="N969" t="s">
        <v>18</v>
      </c>
    </row>
    <row r="970" spans="1:14" x14ac:dyDescent="0.25">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25">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25">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25">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25">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25">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25">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25">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25">
      <c r="A978">
        <v>28004</v>
      </c>
      <c r="B978" t="s">
        <v>36</v>
      </c>
      <c r="C978" t="s">
        <v>38</v>
      </c>
      <c r="D978" s="3">
        <v>60000</v>
      </c>
      <c r="E978">
        <v>3</v>
      </c>
      <c r="F978" t="s">
        <v>13</v>
      </c>
      <c r="G978" t="s">
        <v>28</v>
      </c>
      <c r="H978" t="s">
        <v>15</v>
      </c>
      <c r="I978">
        <v>2</v>
      </c>
      <c r="J978" t="s">
        <v>40</v>
      </c>
      <c r="K978" t="s">
        <v>32</v>
      </c>
      <c r="L978">
        <v>66</v>
      </c>
      <c r="M978" t="str">
        <f t="shared" si="15"/>
        <v>Old</v>
      </c>
      <c r="N978" t="s">
        <v>18</v>
      </c>
    </row>
    <row r="979" spans="1:14" x14ac:dyDescent="0.25">
      <c r="A979">
        <v>19741</v>
      </c>
      <c r="B979" t="s">
        <v>37</v>
      </c>
      <c r="C979" t="s">
        <v>38</v>
      </c>
      <c r="D979" s="3">
        <v>80000</v>
      </c>
      <c r="E979">
        <v>4</v>
      </c>
      <c r="F979" t="s">
        <v>31</v>
      </c>
      <c r="G979" t="s">
        <v>28</v>
      </c>
      <c r="H979" t="s">
        <v>15</v>
      </c>
      <c r="I979">
        <v>2</v>
      </c>
      <c r="J979" t="s">
        <v>23</v>
      </c>
      <c r="K979" t="s">
        <v>32</v>
      </c>
      <c r="L979">
        <v>65</v>
      </c>
      <c r="M979" t="str">
        <f t="shared" si="15"/>
        <v>Old</v>
      </c>
      <c r="N979" t="s">
        <v>18</v>
      </c>
    </row>
    <row r="980" spans="1:14" x14ac:dyDescent="0.25">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25">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25">
      <c r="A982">
        <v>18594</v>
      </c>
      <c r="B982" t="s">
        <v>37</v>
      </c>
      <c r="C982" t="s">
        <v>38</v>
      </c>
      <c r="D982" s="3">
        <v>80000</v>
      </c>
      <c r="E982">
        <v>3</v>
      </c>
      <c r="F982" t="s">
        <v>13</v>
      </c>
      <c r="G982" t="s">
        <v>14</v>
      </c>
      <c r="H982" t="s">
        <v>15</v>
      </c>
      <c r="I982">
        <v>3</v>
      </c>
      <c r="J982" t="s">
        <v>40</v>
      </c>
      <c r="K982" t="s">
        <v>32</v>
      </c>
      <c r="L982">
        <v>40</v>
      </c>
      <c r="M982" t="str">
        <f t="shared" si="15"/>
        <v>Middle Age</v>
      </c>
      <c r="N982" t="s">
        <v>15</v>
      </c>
    </row>
    <row r="983" spans="1:14" x14ac:dyDescent="0.25">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25">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25">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25">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25">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25">
      <c r="A988">
        <v>23704</v>
      </c>
      <c r="B988" t="s">
        <v>37</v>
      </c>
      <c r="C988" t="s">
        <v>39</v>
      </c>
      <c r="D988" s="3">
        <v>40000</v>
      </c>
      <c r="E988">
        <v>5</v>
      </c>
      <c r="F988" t="s">
        <v>27</v>
      </c>
      <c r="G988" t="s">
        <v>21</v>
      </c>
      <c r="H988" t="s">
        <v>15</v>
      </c>
      <c r="I988">
        <v>4</v>
      </c>
      <c r="J988" t="s">
        <v>40</v>
      </c>
      <c r="K988" t="s">
        <v>32</v>
      </c>
      <c r="L988">
        <v>60</v>
      </c>
      <c r="M988" t="str">
        <f t="shared" si="15"/>
        <v>Old</v>
      </c>
      <c r="N988" t="s">
        <v>15</v>
      </c>
    </row>
    <row r="989" spans="1:14" x14ac:dyDescent="0.25">
      <c r="A989">
        <v>28972</v>
      </c>
      <c r="B989" t="s">
        <v>37</v>
      </c>
      <c r="C989" t="s">
        <v>38</v>
      </c>
      <c r="D989" s="3">
        <v>60000</v>
      </c>
      <c r="E989">
        <v>3</v>
      </c>
      <c r="F989" t="s">
        <v>31</v>
      </c>
      <c r="G989" t="s">
        <v>28</v>
      </c>
      <c r="H989" t="s">
        <v>15</v>
      </c>
      <c r="I989">
        <v>2</v>
      </c>
      <c r="J989" t="s">
        <v>40</v>
      </c>
      <c r="K989" t="s">
        <v>32</v>
      </c>
      <c r="L989">
        <v>66</v>
      </c>
      <c r="M989" t="str">
        <f t="shared" si="15"/>
        <v>Old</v>
      </c>
      <c r="N989" t="s">
        <v>18</v>
      </c>
    </row>
    <row r="990" spans="1:14" x14ac:dyDescent="0.25">
      <c r="A990">
        <v>22730</v>
      </c>
      <c r="B990" t="s">
        <v>36</v>
      </c>
      <c r="C990" t="s">
        <v>39</v>
      </c>
      <c r="D990" s="3">
        <v>70000</v>
      </c>
      <c r="E990">
        <v>5</v>
      </c>
      <c r="F990" t="s">
        <v>13</v>
      </c>
      <c r="G990" t="s">
        <v>28</v>
      </c>
      <c r="H990" t="s">
        <v>15</v>
      </c>
      <c r="I990">
        <v>2</v>
      </c>
      <c r="J990" t="s">
        <v>40</v>
      </c>
      <c r="K990" t="s">
        <v>32</v>
      </c>
      <c r="L990">
        <v>63</v>
      </c>
      <c r="M990" t="str">
        <f t="shared" si="15"/>
        <v>Old</v>
      </c>
      <c r="N990" t="s">
        <v>18</v>
      </c>
    </row>
    <row r="991" spans="1:14" x14ac:dyDescent="0.25">
      <c r="A991">
        <v>29134</v>
      </c>
      <c r="B991" t="s">
        <v>36</v>
      </c>
      <c r="C991" t="s">
        <v>39</v>
      </c>
      <c r="D991" s="3">
        <v>60000</v>
      </c>
      <c r="E991">
        <v>4</v>
      </c>
      <c r="F991" t="s">
        <v>13</v>
      </c>
      <c r="G991" t="s">
        <v>14</v>
      </c>
      <c r="H991" t="s">
        <v>18</v>
      </c>
      <c r="I991">
        <v>3</v>
      </c>
      <c r="J991" t="s">
        <v>40</v>
      </c>
      <c r="K991" t="s">
        <v>32</v>
      </c>
      <c r="L991">
        <v>42</v>
      </c>
      <c r="M991" t="str">
        <f t="shared" si="15"/>
        <v>Middle Age</v>
      </c>
      <c r="N991" t="s">
        <v>18</v>
      </c>
    </row>
    <row r="992" spans="1:14" x14ac:dyDescent="0.25">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25">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25">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25">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25">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25">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25">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25">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25">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37</v>
      </c>
      <c r="C1001" t="s">
        <v>39</v>
      </c>
      <c r="D1001" s="3">
        <v>60000</v>
      </c>
      <c r="E1001">
        <v>3</v>
      </c>
      <c r="F1001" t="s">
        <v>27</v>
      </c>
      <c r="G1001" t="s">
        <v>21</v>
      </c>
      <c r="H1001" t="s">
        <v>15</v>
      </c>
      <c r="I1001">
        <v>2</v>
      </c>
      <c r="J1001" t="s">
        <v>40</v>
      </c>
      <c r="K1001" t="s">
        <v>32</v>
      </c>
      <c r="L1001">
        <v>53</v>
      </c>
      <c r="M1001" t="str">
        <f t="shared" si="15"/>
        <v>Middle Age</v>
      </c>
      <c r="N1001"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A7991-7FF0-45B0-B7E3-CA758DAEA4E9}">
  <dimension ref="A1:D34"/>
  <sheetViews>
    <sheetView topLeftCell="A25" zoomScaleNormal="100" workbookViewId="0">
      <selection activeCell="C43" activeCellId="1" sqref="M36 C43"/>
    </sheetView>
  </sheetViews>
  <sheetFormatPr defaultRowHeight="15" x14ac:dyDescent="0.25"/>
  <cols>
    <col min="1" max="1" width="29.42578125" bestFit="1" customWidth="1"/>
    <col min="2" max="2" width="16.28515625" bestFit="1" customWidth="1"/>
    <col min="3" max="3" width="10.5703125" customWidth="1"/>
    <col min="4" max="4" width="11.28515625" bestFit="1" customWidth="1"/>
  </cols>
  <sheetData>
    <row r="1" spans="1:4" x14ac:dyDescent="0.25">
      <c r="A1" s="4" t="s">
        <v>45</v>
      </c>
      <c r="B1" s="4" t="s">
        <v>44</v>
      </c>
    </row>
    <row r="2" spans="1:4" x14ac:dyDescent="0.25">
      <c r="A2" s="4" t="s">
        <v>42</v>
      </c>
      <c r="B2" t="s">
        <v>18</v>
      </c>
      <c r="C2" t="s">
        <v>15</v>
      </c>
      <c r="D2" t="s">
        <v>43</v>
      </c>
    </row>
    <row r="3" spans="1:4" x14ac:dyDescent="0.25">
      <c r="A3" s="5" t="s">
        <v>38</v>
      </c>
      <c r="B3" s="3">
        <v>66428.571428571435</v>
      </c>
      <c r="C3" s="3">
        <v>66000</v>
      </c>
      <c r="D3" s="3">
        <v>66206.896551724145</v>
      </c>
    </row>
    <row r="4" spans="1:4" x14ac:dyDescent="0.25">
      <c r="A4" s="5" t="s">
        <v>39</v>
      </c>
      <c r="B4" s="3">
        <v>75384.61538461539</v>
      </c>
      <c r="C4" s="3">
        <v>70625</v>
      </c>
      <c r="D4" s="3">
        <v>73571.428571428565</v>
      </c>
    </row>
    <row r="5" spans="1:4" x14ac:dyDescent="0.25">
      <c r="A5" s="5" t="s">
        <v>43</v>
      </c>
      <c r="B5" s="3">
        <v>72250</v>
      </c>
      <c r="C5" s="3">
        <v>68387.096774193546</v>
      </c>
      <c r="D5" s="3">
        <v>70563.380281690144</v>
      </c>
    </row>
    <row r="16" spans="1:4" x14ac:dyDescent="0.25">
      <c r="A16" s="4" t="s">
        <v>46</v>
      </c>
      <c r="B16" s="4" t="s">
        <v>44</v>
      </c>
    </row>
    <row r="17" spans="1:4" x14ac:dyDescent="0.25">
      <c r="A17" s="4" t="s">
        <v>42</v>
      </c>
      <c r="B17" t="s">
        <v>18</v>
      </c>
      <c r="C17" t="s">
        <v>15</v>
      </c>
      <c r="D17" t="s">
        <v>43</v>
      </c>
    </row>
    <row r="18" spans="1:4" x14ac:dyDescent="0.25">
      <c r="A18" s="5" t="s">
        <v>16</v>
      </c>
      <c r="B18" s="6">
        <v>18</v>
      </c>
      <c r="C18" s="6">
        <v>13</v>
      </c>
      <c r="D18" s="6">
        <v>31</v>
      </c>
    </row>
    <row r="19" spans="1:4" x14ac:dyDescent="0.25">
      <c r="A19" s="5" t="s">
        <v>26</v>
      </c>
      <c r="B19" s="6">
        <v>7</v>
      </c>
      <c r="C19" s="6">
        <v>5</v>
      </c>
      <c r="D19" s="6">
        <v>12</v>
      </c>
    </row>
    <row r="20" spans="1:4" x14ac:dyDescent="0.25">
      <c r="A20" s="5" t="s">
        <v>22</v>
      </c>
      <c r="B20" s="6">
        <v>4</v>
      </c>
      <c r="C20" s="6">
        <v>12</v>
      </c>
      <c r="D20" s="6">
        <v>16</v>
      </c>
    </row>
    <row r="21" spans="1:4" x14ac:dyDescent="0.25">
      <c r="A21" s="5" t="s">
        <v>23</v>
      </c>
      <c r="B21" s="6">
        <v>7</v>
      </c>
      <c r="C21" s="6">
        <v>1</v>
      </c>
      <c r="D21" s="6">
        <v>8</v>
      </c>
    </row>
    <row r="22" spans="1:4" x14ac:dyDescent="0.25">
      <c r="A22" s="5" t="s">
        <v>40</v>
      </c>
      <c r="B22" s="6">
        <v>4</v>
      </c>
      <c r="C22" s="6"/>
      <c r="D22" s="6">
        <v>4</v>
      </c>
    </row>
    <row r="23" spans="1:4" x14ac:dyDescent="0.25">
      <c r="A23" s="5" t="s">
        <v>43</v>
      </c>
      <c r="B23" s="6">
        <v>40</v>
      </c>
      <c r="C23" s="6">
        <v>31</v>
      </c>
      <c r="D23" s="6">
        <v>71</v>
      </c>
    </row>
    <row r="30" spans="1:4" x14ac:dyDescent="0.25">
      <c r="A30" s="4" t="s">
        <v>49</v>
      </c>
      <c r="B30" s="4" t="s">
        <v>44</v>
      </c>
    </row>
    <row r="31" spans="1:4" x14ac:dyDescent="0.25">
      <c r="A31" s="4" t="s">
        <v>42</v>
      </c>
      <c r="B31" t="s">
        <v>18</v>
      </c>
      <c r="C31" t="s">
        <v>15</v>
      </c>
      <c r="D31" t="s">
        <v>43</v>
      </c>
    </row>
    <row r="32" spans="1:4" x14ac:dyDescent="0.25">
      <c r="A32" s="5" t="s">
        <v>47</v>
      </c>
      <c r="B32" s="6">
        <v>25</v>
      </c>
      <c r="C32" s="6">
        <v>30</v>
      </c>
      <c r="D32" s="6">
        <v>55</v>
      </c>
    </row>
    <row r="33" spans="1:4" x14ac:dyDescent="0.25">
      <c r="A33" s="5" t="s">
        <v>48</v>
      </c>
      <c r="B33" s="6">
        <v>15</v>
      </c>
      <c r="C33" s="6">
        <v>1</v>
      </c>
      <c r="D33" s="6">
        <v>16</v>
      </c>
    </row>
    <row r="34" spans="1:4" x14ac:dyDescent="0.25">
      <c r="A34" s="5" t="s">
        <v>43</v>
      </c>
      <c r="B34" s="6">
        <v>40</v>
      </c>
      <c r="C34" s="6">
        <v>31</v>
      </c>
      <c r="D34" s="6">
        <v>71</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E75FE-E4A3-4C5F-A8F6-F79AC38B3C4C}">
  <dimension ref="A1:O6"/>
  <sheetViews>
    <sheetView showGridLines="0" zoomScale="98" zoomScaleNormal="98" workbookViewId="0">
      <selection activeCell="R16" sqref="R16"/>
    </sheetView>
  </sheetViews>
  <sheetFormatPr defaultRowHeight="15" x14ac:dyDescent="0.25"/>
  <cols>
    <col min="1" max="1" width="9.140625" customWidth="1"/>
  </cols>
  <sheetData>
    <row r="1" spans="1:15" x14ac:dyDescent="0.25">
      <c r="A1" s="8" t="s">
        <v>50</v>
      </c>
      <c r="B1" s="7"/>
      <c r="C1" s="7"/>
      <c r="D1" s="7"/>
      <c r="E1" s="7"/>
      <c r="F1" s="7"/>
      <c r="G1" s="7"/>
      <c r="H1" s="7"/>
      <c r="I1" s="7"/>
      <c r="J1" s="7"/>
      <c r="K1" s="7"/>
      <c r="L1" s="7"/>
      <c r="M1" s="7"/>
      <c r="N1" s="7"/>
      <c r="O1" s="7"/>
    </row>
    <row r="2" spans="1:15" x14ac:dyDescent="0.25">
      <c r="A2" s="7"/>
      <c r="B2" s="7"/>
      <c r="C2" s="7"/>
      <c r="D2" s="7"/>
      <c r="E2" s="7"/>
      <c r="F2" s="7"/>
      <c r="G2" s="7"/>
      <c r="H2" s="7"/>
      <c r="I2" s="7"/>
      <c r="J2" s="7"/>
      <c r="K2" s="7"/>
      <c r="L2" s="7"/>
      <c r="M2" s="7"/>
      <c r="N2" s="7"/>
      <c r="O2" s="7"/>
    </row>
    <row r="3" spans="1:15" x14ac:dyDescent="0.25">
      <c r="A3" s="7"/>
      <c r="B3" s="7"/>
      <c r="C3" s="7"/>
      <c r="D3" s="7"/>
      <c r="E3" s="7"/>
      <c r="F3" s="7"/>
      <c r="G3" s="7"/>
      <c r="H3" s="7"/>
      <c r="I3" s="7"/>
      <c r="J3" s="7"/>
      <c r="K3" s="7"/>
      <c r="L3" s="7"/>
      <c r="M3" s="7"/>
      <c r="N3" s="7"/>
      <c r="O3" s="7"/>
    </row>
    <row r="4" spans="1:15" x14ac:dyDescent="0.25">
      <c r="A4" s="7"/>
      <c r="B4" s="7"/>
      <c r="C4" s="7"/>
      <c r="D4" s="7"/>
      <c r="E4" s="7"/>
      <c r="F4" s="7"/>
      <c r="G4" s="7"/>
      <c r="H4" s="7"/>
      <c r="I4" s="7"/>
      <c r="J4" s="7"/>
      <c r="K4" s="7"/>
      <c r="L4" s="7"/>
      <c r="M4" s="7"/>
      <c r="N4" s="7"/>
      <c r="O4" s="7"/>
    </row>
    <row r="5" spans="1:15" x14ac:dyDescent="0.25">
      <c r="A5" s="7"/>
      <c r="B5" s="7"/>
      <c r="C5" s="7"/>
      <c r="D5" s="7"/>
      <c r="E5" s="7"/>
      <c r="F5" s="7"/>
      <c r="G5" s="7"/>
      <c r="H5" s="7"/>
      <c r="I5" s="7"/>
      <c r="J5" s="7"/>
      <c r="K5" s="7"/>
      <c r="L5" s="7"/>
      <c r="M5" s="7"/>
      <c r="N5" s="7"/>
      <c r="O5" s="7"/>
    </row>
    <row r="6" spans="1:15" x14ac:dyDescent="0.25">
      <c r="A6" s="7"/>
      <c r="B6" s="7"/>
      <c r="C6" s="7"/>
      <c r="D6" s="7"/>
      <c r="E6" s="7"/>
      <c r="F6" s="7"/>
      <c r="G6" s="7"/>
      <c r="H6" s="7"/>
      <c r="I6" s="7"/>
      <c r="J6" s="7"/>
      <c r="K6" s="7"/>
      <c r="L6" s="7"/>
      <c r="M6" s="7"/>
      <c r="N6" s="7"/>
      <c r="O6" s="7"/>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Muhammed Awwal Ismail</cp:lastModifiedBy>
  <cp:lastPrinted>2026-10-06T07:17:40Z</cp:lastPrinted>
  <dcterms:created xsi:type="dcterms:W3CDTF">2022-03-18T02:50:57Z</dcterms:created>
  <dcterms:modified xsi:type="dcterms:W3CDTF">2026-10-06T07:20:09Z</dcterms:modified>
</cp:coreProperties>
</file>